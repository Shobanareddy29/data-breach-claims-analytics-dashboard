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vichitra\Desktop\SHOBANA\DATA BREACH PROJECT\"/>
    </mc:Choice>
  </mc:AlternateContent>
  <xr:revisionPtr revIDLastSave="0" documentId="13_ncr:1_{AAE81B06-8F85-4CA0-9E87-BD46B05429D9}" xr6:coauthVersionLast="47" xr6:coauthVersionMax="47" xr10:uidLastSave="{00000000-0000-0000-0000-000000000000}"/>
  <bookViews>
    <workbookView xWindow="-108" yWindow="-108" windowWidth="23256" windowHeight="12456" xr2:uid="{6693C290-1C51-4E5E-B380-996991953C75}"/>
  </bookViews>
  <sheets>
    <sheet name="Dataset" sheetId="2" r:id="rId1"/>
    <sheet name="KPI_Summary" sheetId="3" r:id="rId2"/>
    <sheet name="Dashboard" sheetId="10" r:id="rId3"/>
    <sheet name="Industry_Analysis" sheetId="4" r:id="rId4"/>
    <sheet name="Breach_Type_Analysis" sheetId="6" r:id="rId5"/>
    <sheet name="Claim_Status_Analysis" sheetId="7" r:id="rId6"/>
    <sheet name="Region_Analysis" sheetId="8" r:id="rId7"/>
    <sheet name="Processing_Time_Analysis" sheetId="9" r:id="rId8"/>
  </sheets>
  <definedNames>
    <definedName name="_xlnm._FilterDatabase" localSheetId="0" hidden="1">Dataset!$A$1:$N$1001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0" l="1"/>
  <c r="A4" i="10"/>
  <c r="B4" i="10"/>
  <c r="D4" i="10"/>
  <c r="B10" i="3"/>
  <c r="B9" i="3"/>
  <c r="B8" i="3"/>
  <c r="B7" i="3"/>
  <c r="B6" i="3"/>
  <c r="B5" i="3"/>
  <c r="B4" i="3"/>
  <c r="B3" i="3"/>
  <c r="B2" i="3"/>
</calcChain>
</file>

<file path=xl/sharedStrings.xml><?xml version="1.0" encoding="utf-8"?>
<sst xmlns="http://schemas.openxmlformats.org/spreadsheetml/2006/main" count="10070" uniqueCount="1056">
  <si>
    <t>Industry</t>
  </si>
  <si>
    <t>Settlement_Amount</t>
  </si>
  <si>
    <t>Region</t>
  </si>
  <si>
    <t>Case_ID</t>
  </si>
  <si>
    <t>Breach_Company</t>
  </si>
  <si>
    <t>Notice_Issue_Date</t>
  </si>
  <si>
    <t>Claim_Submission_Date</t>
  </si>
  <si>
    <t>Submission_Before_Deadline</t>
  </si>
  <si>
    <t>Initial_Review_Status</t>
  </si>
  <si>
    <t>Deficiency_Notice_Sent</t>
  </si>
  <si>
    <t>Documents_Resubmitted</t>
  </si>
  <si>
    <t>Final_Approval_Status</t>
  </si>
  <si>
    <t>Distribution_Status</t>
  </si>
  <si>
    <t>Processing_Days</t>
  </si>
  <si>
    <t>DBR0001</t>
  </si>
  <si>
    <t>DBR0002</t>
  </si>
  <si>
    <t>DBR0003</t>
  </si>
  <si>
    <t>DBR0004</t>
  </si>
  <si>
    <t>DBR0005</t>
  </si>
  <si>
    <t>DBR0006</t>
  </si>
  <si>
    <t>DBR0007</t>
  </si>
  <si>
    <t>DBR0008</t>
  </si>
  <si>
    <t>DBR0009</t>
  </si>
  <si>
    <t>DBR0010</t>
  </si>
  <si>
    <t>DBR0011</t>
  </si>
  <si>
    <t>DBR0012</t>
  </si>
  <si>
    <t>DBR0013</t>
  </si>
  <si>
    <t>DBR0014</t>
  </si>
  <si>
    <t>DBR0015</t>
  </si>
  <si>
    <t>DBR0016</t>
  </si>
  <si>
    <t>DBR0017</t>
  </si>
  <si>
    <t>DBR0018</t>
  </si>
  <si>
    <t>DBR0019</t>
  </si>
  <si>
    <t>DBR0020</t>
  </si>
  <si>
    <t>DBR0021</t>
  </si>
  <si>
    <t>DBR0022</t>
  </si>
  <si>
    <t>DBR0023</t>
  </si>
  <si>
    <t>DBR0024</t>
  </si>
  <si>
    <t>DBR0025</t>
  </si>
  <si>
    <t>DBR0026</t>
  </si>
  <si>
    <t>DBR0027</t>
  </si>
  <si>
    <t>DBR0028</t>
  </si>
  <si>
    <t>DBR0029</t>
  </si>
  <si>
    <t>DBR0030</t>
  </si>
  <si>
    <t>DBR0031</t>
  </si>
  <si>
    <t>DBR0032</t>
  </si>
  <si>
    <t>DBR0033</t>
  </si>
  <si>
    <t>DBR0034</t>
  </si>
  <si>
    <t>DBR0035</t>
  </si>
  <si>
    <t>DBR0036</t>
  </si>
  <si>
    <t>DBR0037</t>
  </si>
  <si>
    <t>DBR0038</t>
  </si>
  <si>
    <t>DBR0039</t>
  </si>
  <si>
    <t>DBR0040</t>
  </si>
  <si>
    <t>DBR0041</t>
  </si>
  <si>
    <t>DBR0042</t>
  </si>
  <si>
    <t>DBR0043</t>
  </si>
  <si>
    <t>DBR0044</t>
  </si>
  <si>
    <t>DBR0045</t>
  </si>
  <si>
    <t>DBR0046</t>
  </si>
  <si>
    <t>DBR0047</t>
  </si>
  <si>
    <t>DBR0048</t>
  </si>
  <si>
    <t>DBR0049</t>
  </si>
  <si>
    <t>DBR0050</t>
  </si>
  <si>
    <t>DBR0051</t>
  </si>
  <si>
    <t>DBR0052</t>
  </si>
  <si>
    <t>DBR0053</t>
  </si>
  <si>
    <t>DBR0054</t>
  </si>
  <si>
    <t>DBR0055</t>
  </si>
  <si>
    <t>DBR0056</t>
  </si>
  <si>
    <t>DBR0057</t>
  </si>
  <si>
    <t>DBR0058</t>
  </si>
  <si>
    <t>DBR0059</t>
  </si>
  <si>
    <t>DBR0060</t>
  </si>
  <si>
    <t>DBR0061</t>
  </si>
  <si>
    <t>DBR0062</t>
  </si>
  <si>
    <t>DBR0063</t>
  </si>
  <si>
    <t>DBR0064</t>
  </si>
  <si>
    <t>DBR0065</t>
  </si>
  <si>
    <t>DBR0066</t>
  </si>
  <si>
    <t>DBR0067</t>
  </si>
  <si>
    <t>DBR0068</t>
  </si>
  <si>
    <t>DBR0069</t>
  </si>
  <si>
    <t>DBR0070</t>
  </si>
  <si>
    <t>DBR0071</t>
  </si>
  <si>
    <t>DBR0072</t>
  </si>
  <si>
    <t>DBR0073</t>
  </si>
  <si>
    <t>DBR0074</t>
  </si>
  <si>
    <t>DBR0075</t>
  </si>
  <si>
    <t>DBR0076</t>
  </si>
  <si>
    <t>DBR0077</t>
  </si>
  <si>
    <t>DBR0078</t>
  </si>
  <si>
    <t>DBR0079</t>
  </si>
  <si>
    <t>DBR0080</t>
  </si>
  <si>
    <t>DBR0081</t>
  </si>
  <si>
    <t>DBR0082</t>
  </si>
  <si>
    <t>DBR0083</t>
  </si>
  <si>
    <t>DBR0084</t>
  </si>
  <si>
    <t>DBR0085</t>
  </si>
  <si>
    <t>DBR0086</t>
  </si>
  <si>
    <t>DBR0087</t>
  </si>
  <si>
    <t>DBR0088</t>
  </si>
  <si>
    <t>DBR0089</t>
  </si>
  <si>
    <t>DBR0090</t>
  </si>
  <si>
    <t>DBR0091</t>
  </si>
  <si>
    <t>DBR0092</t>
  </si>
  <si>
    <t>DBR0093</t>
  </si>
  <si>
    <t>DBR0094</t>
  </si>
  <si>
    <t>DBR0095</t>
  </si>
  <si>
    <t>DBR0096</t>
  </si>
  <si>
    <t>DBR0097</t>
  </si>
  <si>
    <t>DBR0098</t>
  </si>
  <si>
    <t>DBR0099</t>
  </si>
  <si>
    <t>DBR0100</t>
  </si>
  <si>
    <t>DBR0101</t>
  </si>
  <si>
    <t>DBR0102</t>
  </si>
  <si>
    <t>DBR0103</t>
  </si>
  <si>
    <t>DBR0104</t>
  </si>
  <si>
    <t>DBR0105</t>
  </si>
  <si>
    <t>DBR0106</t>
  </si>
  <si>
    <t>DBR0107</t>
  </si>
  <si>
    <t>DBR0108</t>
  </si>
  <si>
    <t>DBR0109</t>
  </si>
  <si>
    <t>DBR0110</t>
  </si>
  <si>
    <t>DBR0111</t>
  </si>
  <si>
    <t>DBR0112</t>
  </si>
  <si>
    <t>DBR0113</t>
  </si>
  <si>
    <t>DBR0114</t>
  </si>
  <si>
    <t>DBR0115</t>
  </si>
  <si>
    <t>DBR0116</t>
  </si>
  <si>
    <t>DBR0117</t>
  </si>
  <si>
    <t>DBR0118</t>
  </si>
  <si>
    <t>DBR0119</t>
  </si>
  <si>
    <t>DBR0120</t>
  </si>
  <si>
    <t>DBR0121</t>
  </si>
  <si>
    <t>DBR0122</t>
  </si>
  <si>
    <t>DBR0123</t>
  </si>
  <si>
    <t>DBR0124</t>
  </si>
  <si>
    <t>DBR0125</t>
  </si>
  <si>
    <t>DBR0126</t>
  </si>
  <si>
    <t>DBR0127</t>
  </si>
  <si>
    <t>DBR0128</t>
  </si>
  <si>
    <t>DBR0129</t>
  </si>
  <si>
    <t>DBR0130</t>
  </si>
  <si>
    <t>DBR0131</t>
  </si>
  <si>
    <t>DBR0132</t>
  </si>
  <si>
    <t>DBR0133</t>
  </si>
  <si>
    <t>DBR0134</t>
  </si>
  <si>
    <t>DBR0135</t>
  </si>
  <si>
    <t>DBR0136</t>
  </si>
  <si>
    <t>DBR0137</t>
  </si>
  <si>
    <t>DBR0138</t>
  </si>
  <si>
    <t>DBR0139</t>
  </si>
  <si>
    <t>DBR0140</t>
  </si>
  <si>
    <t>DBR0141</t>
  </si>
  <si>
    <t>DBR0142</t>
  </si>
  <si>
    <t>DBR0143</t>
  </si>
  <si>
    <t>DBR0144</t>
  </si>
  <si>
    <t>DBR0145</t>
  </si>
  <si>
    <t>DBR0146</t>
  </si>
  <si>
    <t>DBR0147</t>
  </si>
  <si>
    <t>DBR0148</t>
  </si>
  <si>
    <t>DBR0149</t>
  </si>
  <si>
    <t>DBR0150</t>
  </si>
  <si>
    <t>DBR0151</t>
  </si>
  <si>
    <t>DBR0152</t>
  </si>
  <si>
    <t>DBR0153</t>
  </si>
  <si>
    <t>DBR0154</t>
  </si>
  <si>
    <t>DBR0155</t>
  </si>
  <si>
    <t>DBR0156</t>
  </si>
  <si>
    <t>DBR0157</t>
  </si>
  <si>
    <t>DBR0158</t>
  </si>
  <si>
    <t>DBR0159</t>
  </si>
  <si>
    <t>DBR0160</t>
  </si>
  <si>
    <t>DBR0161</t>
  </si>
  <si>
    <t>DBR0162</t>
  </si>
  <si>
    <t>DBR0163</t>
  </si>
  <si>
    <t>DBR0164</t>
  </si>
  <si>
    <t>DBR0165</t>
  </si>
  <si>
    <t>DBR0166</t>
  </si>
  <si>
    <t>DBR0167</t>
  </si>
  <si>
    <t>DBR0168</t>
  </si>
  <si>
    <t>DBR0169</t>
  </si>
  <si>
    <t>DBR0170</t>
  </si>
  <si>
    <t>DBR0171</t>
  </si>
  <si>
    <t>DBR0172</t>
  </si>
  <si>
    <t>DBR0173</t>
  </si>
  <si>
    <t>DBR0174</t>
  </si>
  <si>
    <t>DBR0175</t>
  </si>
  <si>
    <t>DBR0176</t>
  </si>
  <si>
    <t>DBR0177</t>
  </si>
  <si>
    <t>DBR0178</t>
  </si>
  <si>
    <t>DBR0179</t>
  </si>
  <si>
    <t>DBR0180</t>
  </si>
  <si>
    <t>DBR0181</t>
  </si>
  <si>
    <t>DBR0182</t>
  </si>
  <si>
    <t>DBR0183</t>
  </si>
  <si>
    <t>DBR0184</t>
  </si>
  <si>
    <t>DBR0185</t>
  </si>
  <si>
    <t>DBR0186</t>
  </si>
  <si>
    <t>DBR0187</t>
  </si>
  <si>
    <t>DBR0188</t>
  </si>
  <si>
    <t>DBR0189</t>
  </si>
  <si>
    <t>DBR0190</t>
  </si>
  <si>
    <t>DBR0191</t>
  </si>
  <si>
    <t>DBR0192</t>
  </si>
  <si>
    <t>DBR0193</t>
  </si>
  <si>
    <t>DBR0194</t>
  </si>
  <si>
    <t>DBR0195</t>
  </si>
  <si>
    <t>DBR0196</t>
  </si>
  <si>
    <t>DBR0197</t>
  </si>
  <si>
    <t>DBR0198</t>
  </si>
  <si>
    <t>DBR0199</t>
  </si>
  <si>
    <t>DBR0200</t>
  </si>
  <si>
    <t>DBR0201</t>
  </si>
  <si>
    <t>DBR0202</t>
  </si>
  <si>
    <t>DBR0203</t>
  </si>
  <si>
    <t>DBR0204</t>
  </si>
  <si>
    <t>DBR0205</t>
  </si>
  <si>
    <t>DBR0206</t>
  </si>
  <si>
    <t>DBR0207</t>
  </si>
  <si>
    <t>DBR0208</t>
  </si>
  <si>
    <t>DBR0209</t>
  </si>
  <si>
    <t>DBR0210</t>
  </si>
  <si>
    <t>DBR0211</t>
  </si>
  <si>
    <t>DBR0212</t>
  </si>
  <si>
    <t>DBR0213</t>
  </si>
  <si>
    <t>DBR0214</t>
  </si>
  <si>
    <t>DBR0215</t>
  </si>
  <si>
    <t>DBR0216</t>
  </si>
  <si>
    <t>DBR0217</t>
  </si>
  <si>
    <t>DBR0218</t>
  </si>
  <si>
    <t>DBR0219</t>
  </si>
  <si>
    <t>DBR0220</t>
  </si>
  <si>
    <t>DBR0221</t>
  </si>
  <si>
    <t>DBR0222</t>
  </si>
  <si>
    <t>DBR0223</t>
  </si>
  <si>
    <t>DBR0224</t>
  </si>
  <si>
    <t>DBR0225</t>
  </si>
  <si>
    <t>DBR0226</t>
  </si>
  <si>
    <t>DBR0227</t>
  </si>
  <si>
    <t>DBR0228</t>
  </si>
  <si>
    <t>DBR0229</t>
  </si>
  <si>
    <t>DBR0230</t>
  </si>
  <si>
    <t>DBR0231</t>
  </si>
  <si>
    <t>DBR0232</t>
  </si>
  <si>
    <t>DBR0233</t>
  </si>
  <si>
    <t>DBR0234</t>
  </si>
  <si>
    <t>DBR0235</t>
  </si>
  <si>
    <t>DBR0236</t>
  </si>
  <si>
    <t>DBR0237</t>
  </si>
  <si>
    <t>DBR0238</t>
  </si>
  <si>
    <t>DBR0239</t>
  </si>
  <si>
    <t>DBR0240</t>
  </si>
  <si>
    <t>DBR0241</t>
  </si>
  <si>
    <t>DBR0242</t>
  </si>
  <si>
    <t>DBR0243</t>
  </si>
  <si>
    <t>DBR0244</t>
  </si>
  <si>
    <t>DBR0245</t>
  </si>
  <si>
    <t>DBR0246</t>
  </si>
  <si>
    <t>DBR0247</t>
  </si>
  <si>
    <t>DBR0248</t>
  </si>
  <si>
    <t>DBR0249</t>
  </si>
  <si>
    <t>DBR0250</t>
  </si>
  <si>
    <t>DBR0251</t>
  </si>
  <si>
    <t>DBR0252</t>
  </si>
  <si>
    <t>DBR0253</t>
  </si>
  <si>
    <t>DBR0254</t>
  </si>
  <si>
    <t>DBR0255</t>
  </si>
  <si>
    <t>DBR0256</t>
  </si>
  <si>
    <t>DBR0257</t>
  </si>
  <si>
    <t>DBR0258</t>
  </si>
  <si>
    <t>DBR0259</t>
  </si>
  <si>
    <t>DBR0260</t>
  </si>
  <si>
    <t>DBR0261</t>
  </si>
  <si>
    <t>DBR0262</t>
  </si>
  <si>
    <t>DBR0263</t>
  </si>
  <si>
    <t>DBR0264</t>
  </si>
  <si>
    <t>DBR0265</t>
  </si>
  <si>
    <t>DBR0266</t>
  </si>
  <si>
    <t>DBR0267</t>
  </si>
  <si>
    <t>DBR0268</t>
  </si>
  <si>
    <t>DBR0269</t>
  </si>
  <si>
    <t>DBR0270</t>
  </si>
  <si>
    <t>DBR0271</t>
  </si>
  <si>
    <t>DBR0272</t>
  </si>
  <si>
    <t>DBR0273</t>
  </si>
  <si>
    <t>DBR0274</t>
  </si>
  <si>
    <t>DBR0275</t>
  </si>
  <si>
    <t>DBR0276</t>
  </si>
  <si>
    <t>DBR0277</t>
  </si>
  <si>
    <t>DBR0278</t>
  </si>
  <si>
    <t>DBR0279</t>
  </si>
  <si>
    <t>DBR0280</t>
  </si>
  <si>
    <t>DBR0281</t>
  </si>
  <si>
    <t>DBR0282</t>
  </si>
  <si>
    <t>DBR0283</t>
  </si>
  <si>
    <t>DBR0284</t>
  </si>
  <si>
    <t>DBR0285</t>
  </si>
  <si>
    <t>DBR0286</t>
  </si>
  <si>
    <t>DBR0287</t>
  </si>
  <si>
    <t>DBR0288</t>
  </si>
  <si>
    <t>DBR0289</t>
  </si>
  <si>
    <t>DBR0290</t>
  </si>
  <si>
    <t>DBR0291</t>
  </si>
  <si>
    <t>DBR0292</t>
  </si>
  <si>
    <t>DBR0293</t>
  </si>
  <si>
    <t>DBR0294</t>
  </si>
  <si>
    <t>DBR0295</t>
  </si>
  <si>
    <t>DBR0296</t>
  </si>
  <si>
    <t>DBR0297</t>
  </si>
  <si>
    <t>DBR0298</t>
  </si>
  <si>
    <t>DBR0299</t>
  </si>
  <si>
    <t>DBR0300</t>
  </si>
  <si>
    <t>DBR0301</t>
  </si>
  <si>
    <t>DBR0302</t>
  </si>
  <si>
    <t>DBR0303</t>
  </si>
  <si>
    <t>DBR0304</t>
  </si>
  <si>
    <t>DBR0305</t>
  </si>
  <si>
    <t>DBR0306</t>
  </si>
  <si>
    <t>DBR0307</t>
  </si>
  <si>
    <t>DBR0308</t>
  </si>
  <si>
    <t>DBR0309</t>
  </si>
  <si>
    <t>DBR0310</t>
  </si>
  <si>
    <t>DBR0311</t>
  </si>
  <si>
    <t>DBR0312</t>
  </si>
  <si>
    <t>DBR0313</t>
  </si>
  <si>
    <t>DBR0314</t>
  </si>
  <si>
    <t>DBR0315</t>
  </si>
  <si>
    <t>DBR0316</t>
  </si>
  <si>
    <t>DBR0317</t>
  </si>
  <si>
    <t>DBR0318</t>
  </si>
  <si>
    <t>DBR0319</t>
  </si>
  <si>
    <t>DBR0320</t>
  </si>
  <si>
    <t>DBR0321</t>
  </si>
  <si>
    <t>DBR0322</t>
  </si>
  <si>
    <t>DBR0323</t>
  </si>
  <si>
    <t>DBR0324</t>
  </si>
  <si>
    <t>DBR0325</t>
  </si>
  <si>
    <t>DBR0326</t>
  </si>
  <si>
    <t>DBR0327</t>
  </si>
  <si>
    <t>DBR0328</t>
  </si>
  <si>
    <t>DBR0329</t>
  </si>
  <si>
    <t>DBR0330</t>
  </si>
  <si>
    <t>DBR0331</t>
  </si>
  <si>
    <t>DBR0332</t>
  </si>
  <si>
    <t>DBR0333</t>
  </si>
  <si>
    <t>DBR0334</t>
  </si>
  <si>
    <t>DBR0335</t>
  </si>
  <si>
    <t>DBR0336</t>
  </si>
  <si>
    <t>DBR0337</t>
  </si>
  <si>
    <t>DBR0338</t>
  </si>
  <si>
    <t>DBR0339</t>
  </si>
  <si>
    <t>DBR0340</t>
  </si>
  <si>
    <t>DBR0341</t>
  </si>
  <si>
    <t>DBR0342</t>
  </si>
  <si>
    <t>DBR0343</t>
  </si>
  <si>
    <t>DBR0344</t>
  </si>
  <si>
    <t>DBR0345</t>
  </si>
  <si>
    <t>DBR0346</t>
  </si>
  <si>
    <t>DBR0347</t>
  </si>
  <si>
    <t>DBR0348</t>
  </si>
  <si>
    <t>DBR0349</t>
  </si>
  <si>
    <t>DBR0350</t>
  </si>
  <si>
    <t>DBR0351</t>
  </si>
  <si>
    <t>DBR0352</t>
  </si>
  <si>
    <t>DBR0353</t>
  </si>
  <si>
    <t>DBR0354</t>
  </si>
  <si>
    <t>DBR0355</t>
  </si>
  <si>
    <t>DBR0356</t>
  </si>
  <si>
    <t>DBR0357</t>
  </si>
  <si>
    <t>DBR0358</t>
  </si>
  <si>
    <t>DBR0359</t>
  </si>
  <si>
    <t>DBR0360</t>
  </si>
  <si>
    <t>DBR0361</t>
  </si>
  <si>
    <t>DBR0362</t>
  </si>
  <si>
    <t>DBR0363</t>
  </si>
  <si>
    <t>DBR0364</t>
  </si>
  <si>
    <t>DBR0365</t>
  </si>
  <si>
    <t>DBR0366</t>
  </si>
  <si>
    <t>DBR0367</t>
  </si>
  <si>
    <t>DBR0368</t>
  </si>
  <si>
    <t>DBR0369</t>
  </si>
  <si>
    <t>DBR0370</t>
  </si>
  <si>
    <t>DBR0371</t>
  </si>
  <si>
    <t>DBR0372</t>
  </si>
  <si>
    <t>DBR0373</t>
  </si>
  <si>
    <t>DBR0374</t>
  </si>
  <si>
    <t>DBR0375</t>
  </si>
  <si>
    <t>DBR0376</t>
  </si>
  <si>
    <t>DBR0377</t>
  </si>
  <si>
    <t>DBR0378</t>
  </si>
  <si>
    <t>DBR0379</t>
  </si>
  <si>
    <t>DBR0380</t>
  </si>
  <si>
    <t>DBR0381</t>
  </si>
  <si>
    <t>DBR0382</t>
  </si>
  <si>
    <t>DBR0383</t>
  </si>
  <si>
    <t>DBR0384</t>
  </si>
  <si>
    <t>DBR0385</t>
  </si>
  <si>
    <t>DBR0386</t>
  </si>
  <si>
    <t>DBR0387</t>
  </si>
  <si>
    <t>DBR0388</t>
  </si>
  <si>
    <t>DBR0389</t>
  </si>
  <si>
    <t>DBR0390</t>
  </si>
  <si>
    <t>DBR0391</t>
  </si>
  <si>
    <t>DBR0392</t>
  </si>
  <si>
    <t>DBR0393</t>
  </si>
  <si>
    <t>DBR0394</t>
  </si>
  <si>
    <t>DBR0395</t>
  </si>
  <si>
    <t>DBR0396</t>
  </si>
  <si>
    <t>DBR0397</t>
  </si>
  <si>
    <t>DBR0398</t>
  </si>
  <si>
    <t>DBR0399</t>
  </si>
  <si>
    <t>DBR0400</t>
  </si>
  <si>
    <t>DBR0401</t>
  </si>
  <si>
    <t>DBR0402</t>
  </si>
  <si>
    <t>DBR0403</t>
  </si>
  <si>
    <t>DBR0404</t>
  </si>
  <si>
    <t>DBR0405</t>
  </si>
  <si>
    <t>DBR0406</t>
  </si>
  <si>
    <t>DBR0407</t>
  </si>
  <si>
    <t>DBR0408</t>
  </si>
  <si>
    <t>DBR0409</t>
  </si>
  <si>
    <t>DBR0410</t>
  </si>
  <si>
    <t>DBR0411</t>
  </si>
  <si>
    <t>DBR0412</t>
  </si>
  <si>
    <t>DBR0413</t>
  </si>
  <si>
    <t>DBR0414</t>
  </si>
  <si>
    <t>DBR0415</t>
  </si>
  <si>
    <t>DBR0416</t>
  </si>
  <si>
    <t>DBR0417</t>
  </si>
  <si>
    <t>DBR0418</t>
  </si>
  <si>
    <t>DBR0419</t>
  </si>
  <si>
    <t>DBR0420</t>
  </si>
  <si>
    <t>DBR0421</t>
  </si>
  <si>
    <t>DBR0422</t>
  </si>
  <si>
    <t>DBR0423</t>
  </si>
  <si>
    <t>DBR0424</t>
  </si>
  <si>
    <t>DBR0425</t>
  </si>
  <si>
    <t>DBR0426</t>
  </si>
  <si>
    <t>DBR0427</t>
  </si>
  <si>
    <t>DBR0428</t>
  </si>
  <si>
    <t>DBR0429</t>
  </si>
  <si>
    <t>DBR0430</t>
  </si>
  <si>
    <t>DBR0431</t>
  </si>
  <si>
    <t>DBR0432</t>
  </si>
  <si>
    <t>DBR0433</t>
  </si>
  <si>
    <t>DBR0434</t>
  </si>
  <si>
    <t>DBR0435</t>
  </si>
  <si>
    <t>DBR0436</t>
  </si>
  <si>
    <t>DBR0437</t>
  </si>
  <si>
    <t>DBR0438</t>
  </si>
  <si>
    <t>DBR0439</t>
  </si>
  <si>
    <t>DBR0440</t>
  </si>
  <si>
    <t>DBR0441</t>
  </si>
  <si>
    <t>DBR0442</t>
  </si>
  <si>
    <t>DBR0443</t>
  </si>
  <si>
    <t>DBR0444</t>
  </si>
  <si>
    <t>DBR0445</t>
  </si>
  <si>
    <t>DBR0446</t>
  </si>
  <si>
    <t>DBR0447</t>
  </si>
  <si>
    <t>DBR0448</t>
  </si>
  <si>
    <t>DBR0449</t>
  </si>
  <si>
    <t>DBR0450</t>
  </si>
  <si>
    <t>DBR0451</t>
  </si>
  <si>
    <t>DBR0452</t>
  </si>
  <si>
    <t>DBR0453</t>
  </si>
  <si>
    <t>DBR0454</t>
  </si>
  <si>
    <t>DBR0455</t>
  </si>
  <si>
    <t>DBR0456</t>
  </si>
  <si>
    <t>DBR0457</t>
  </si>
  <si>
    <t>DBR0458</t>
  </si>
  <si>
    <t>DBR0459</t>
  </si>
  <si>
    <t>DBR0460</t>
  </si>
  <si>
    <t>DBR0461</t>
  </si>
  <si>
    <t>DBR0462</t>
  </si>
  <si>
    <t>DBR0463</t>
  </si>
  <si>
    <t>DBR0464</t>
  </si>
  <si>
    <t>DBR0465</t>
  </si>
  <si>
    <t>DBR0466</t>
  </si>
  <si>
    <t>DBR0467</t>
  </si>
  <si>
    <t>DBR0468</t>
  </si>
  <si>
    <t>DBR0469</t>
  </si>
  <si>
    <t>DBR0470</t>
  </si>
  <si>
    <t>DBR0471</t>
  </si>
  <si>
    <t>DBR0472</t>
  </si>
  <si>
    <t>DBR0473</t>
  </si>
  <si>
    <t>DBR0474</t>
  </si>
  <si>
    <t>DBR0475</t>
  </si>
  <si>
    <t>DBR0476</t>
  </si>
  <si>
    <t>DBR0477</t>
  </si>
  <si>
    <t>DBR0478</t>
  </si>
  <si>
    <t>DBR0479</t>
  </si>
  <si>
    <t>DBR0480</t>
  </si>
  <si>
    <t>DBR0481</t>
  </si>
  <si>
    <t>DBR0482</t>
  </si>
  <si>
    <t>DBR0483</t>
  </si>
  <si>
    <t>DBR0484</t>
  </si>
  <si>
    <t>DBR0485</t>
  </si>
  <si>
    <t>DBR0486</t>
  </si>
  <si>
    <t>DBR0487</t>
  </si>
  <si>
    <t>DBR0488</t>
  </si>
  <si>
    <t>DBR0489</t>
  </si>
  <si>
    <t>DBR0490</t>
  </si>
  <si>
    <t>DBR0491</t>
  </si>
  <si>
    <t>DBR0492</t>
  </si>
  <si>
    <t>DBR0493</t>
  </si>
  <si>
    <t>DBR0494</t>
  </si>
  <si>
    <t>DBR0495</t>
  </si>
  <si>
    <t>DBR0496</t>
  </si>
  <si>
    <t>DBR0497</t>
  </si>
  <si>
    <t>DBR0498</t>
  </si>
  <si>
    <t>DBR0499</t>
  </si>
  <si>
    <t>DBR0500</t>
  </si>
  <si>
    <t>DBR0501</t>
  </si>
  <si>
    <t>DBR0502</t>
  </si>
  <si>
    <t>DBR0503</t>
  </si>
  <si>
    <t>DBR0504</t>
  </si>
  <si>
    <t>DBR0505</t>
  </si>
  <si>
    <t>DBR0506</t>
  </si>
  <si>
    <t>DBR0507</t>
  </si>
  <si>
    <t>DBR0508</t>
  </si>
  <si>
    <t>DBR0509</t>
  </si>
  <si>
    <t>DBR0510</t>
  </si>
  <si>
    <t>DBR0511</t>
  </si>
  <si>
    <t>DBR0512</t>
  </si>
  <si>
    <t>DBR0513</t>
  </si>
  <si>
    <t>DBR0514</t>
  </si>
  <si>
    <t>DBR0515</t>
  </si>
  <si>
    <t>DBR0516</t>
  </si>
  <si>
    <t>DBR0517</t>
  </si>
  <si>
    <t>DBR0518</t>
  </si>
  <si>
    <t>DBR0519</t>
  </si>
  <si>
    <t>DBR0520</t>
  </si>
  <si>
    <t>DBR0521</t>
  </si>
  <si>
    <t>DBR0522</t>
  </si>
  <si>
    <t>DBR0523</t>
  </si>
  <si>
    <t>DBR0524</t>
  </si>
  <si>
    <t>DBR0525</t>
  </si>
  <si>
    <t>DBR0526</t>
  </si>
  <si>
    <t>DBR0527</t>
  </si>
  <si>
    <t>DBR0528</t>
  </si>
  <si>
    <t>DBR0529</t>
  </si>
  <si>
    <t>DBR0530</t>
  </si>
  <si>
    <t>DBR0531</t>
  </si>
  <si>
    <t>DBR0532</t>
  </si>
  <si>
    <t>DBR0533</t>
  </si>
  <si>
    <t>DBR0534</t>
  </si>
  <si>
    <t>DBR0535</t>
  </si>
  <si>
    <t>DBR0536</t>
  </si>
  <si>
    <t>DBR0537</t>
  </si>
  <si>
    <t>DBR0538</t>
  </si>
  <si>
    <t>DBR0539</t>
  </si>
  <si>
    <t>DBR0540</t>
  </si>
  <si>
    <t>DBR0541</t>
  </si>
  <si>
    <t>DBR0542</t>
  </si>
  <si>
    <t>DBR0543</t>
  </si>
  <si>
    <t>DBR0544</t>
  </si>
  <si>
    <t>DBR0545</t>
  </si>
  <si>
    <t>DBR0546</t>
  </si>
  <si>
    <t>DBR0547</t>
  </si>
  <si>
    <t>DBR0548</t>
  </si>
  <si>
    <t>DBR0549</t>
  </si>
  <si>
    <t>DBR0550</t>
  </si>
  <si>
    <t>DBR0551</t>
  </si>
  <si>
    <t>DBR0552</t>
  </si>
  <si>
    <t>DBR0553</t>
  </si>
  <si>
    <t>DBR0554</t>
  </si>
  <si>
    <t>DBR0555</t>
  </si>
  <si>
    <t>DBR0556</t>
  </si>
  <si>
    <t>DBR0557</t>
  </si>
  <si>
    <t>DBR0558</t>
  </si>
  <si>
    <t>DBR0559</t>
  </si>
  <si>
    <t>DBR0560</t>
  </si>
  <si>
    <t>DBR0561</t>
  </si>
  <si>
    <t>DBR0562</t>
  </si>
  <si>
    <t>DBR0563</t>
  </si>
  <si>
    <t>DBR0564</t>
  </si>
  <si>
    <t>DBR0565</t>
  </si>
  <si>
    <t>DBR0566</t>
  </si>
  <si>
    <t>DBR0567</t>
  </si>
  <si>
    <t>DBR0568</t>
  </si>
  <si>
    <t>DBR0569</t>
  </si>
  <si>
    <t>DBR0570</t>
  </si>
  <si>
    <t>DBR0571</t>
  </si>
  <si>
    <t>DBR0572</t>
  </si>
  <si>
    <t>DBR0573</t>
  </si>
  <si>
    <t>DBR0574</t>
  </si>
  <si>
    <t>DBR0575</t>
  </si>
  <si>
    <t>DBR0576</t>
  </si>
  <si>
    <t>DBR0577</t>
  </si>
  <si>
    <t>DBR0578</t>
  </si>
  <si>
    <t>DBR0579</t>
  </si>
  <si>
    <t>DBR0580</t>
  </si>
  <si>
    <t>DBR0581</t>
  </si>
  <si>
    <t>DBR0582</t>
  </si>
  <si>
    <t>DBR0583</t>
  </si>
  <si>
    <t>DBR0584</t>
  </si>
  <si>
    <t>DBR0585</t>
  </si>
  <si>
    <t>DBR0586</t>
  </si>
  <si>
    <t>DBR0587</t>
  </si>
  <si>
    <t>DBR0588</t>
  </si>
  <si>
    <t>DBR0589</t>
  </si>
  <si>
    <t>DBR0590</t>
  </si>
  <si>
    <t>DBR0591</t>
  </si>
  <si>
    <t>DBR0592</t>
  </si>
  <si>
    <t>DBR0593</t>
  </si>
  <si>
    <t>DBR0594</t>
  </si>
  <si>
    <t>DBR0595</t>
  </si>
  <si>
    <t>DBR0596</t>
  </si>
  <si>
    <t>DBR0597</t>
  </si>
  <si>
    <t>DBR0598</t>
  </si>
  <si>
    <t>DBR0599</t>
  </si>
  <si>
    <t>DBR0600</t>
  </si>
  <si>
    <t>DBR0601</t>
  </si>
  <si>
    <t>DBR0602</t>
  </si>
  <si>
    <t>DBR0603</t>
  </si>
  <si>
    <t>DBR0604</t>
  </si>
  <si>
    <t>DBR0605</t>
  </si>
  <si>
    <t>DBR0606</t>
  </si>
  <si>
    <t>DBR0607</t>
  </si>
  <si>
    <t>DBR0608</t>
  </si>
  <si>
    <t>DBR0609</t>
  </si>
  <si>
    <t>DBR0610</t>
  </si>
  <si>
    <t>DBR0611</t>
  </si>
  <si>
    <t>DBR0612</t>
  </si>
  <si>
    <t>DBR0613</t>
  </si>
  <si>
    <t>DBR0614</t>
  </si>
  <si>
    <t>DBR0615</t>
  </si>
  <si>
    <t>DBR0616</t>
  </si>
  <si>
    <t>DBR0617</t>
  </si>
  <si>
    <t>DBR0618</t>
  </si>
  <si>
    <t>DBR0619</t>
  </si>
  <si>
    <t>DBR0620</t>
  </si>
  <si>
    <t>DBR0621</t>
  </si>
  <si>
    <t>DBR0622</t>
  </si>
  <si>
    <t>DBR0623</t>
  </si>
  <si>
    <t>DBR0624</t>
  </si>
  <si>
    <t>DBR0625</t>
  </si>
  <si>
    <t>DBR0626</t>
  </si>
  <si>
    <t>DBR0627</t>
  </si>
  <si>
    <t>DBR0628</t>
  </si>
  <si>
    <t>DBR0629</t>
  </si>
  <si>
    <t>DBR0630</t>
  </si>
  <si>
    <t>DBR0631</t>
  </si>
  <si>
    <t>DBR0632</t>
  </si>
  <si>
    <t>DBR0633</t>
  </si>
  <si>
    <t>DBR0634</t>
  </si>
  <si>
    <t>DBR0635</t>
  </si>
  <si>
    <t>DBR0636</t>
  </si>
  <si>
    <t>DBR0637</t>
  </si>
  <si>
    <t>DBR0638</t>
  </si>
  <si>
    <t>DBR0639</t>
  </si>
  <si>
    <t>DBR0640</t>
  </si>
  <si>
    <t>DBR0641</t>
  </si>
  <si>
    <t>DBR0642</t>
  </si>
  <si>
    <t>DBR0643</t>
  </si>
  <si>
    <t>DBR0644</t>
  </si>
  <si>
    <t>DBR0645</t>
  </si>
  <si>
    <t>DBR0646</t>
  </si>
  <si>
    <t>DBR0647</t>
  </si>
  <si>
    <t>DBR0648</t>
  </si>
  <si>
    <t>DBR0649</t>
  </si>
  <si>
    <t>DBR0650</t>
  </si>
  <si>
    <t>DBR0651</t>
  </si>
  <si>
    <t>DBR0652</t>
  </si>
  <si>
    <t>DBR0653</t>
  </si>
  <si>
    <t>DBR0654</t>
  </si>
  <si>
    <t>DBR0655</t>
  </si>
  <si>
    <t>DBR0656</t>
  </si>
  <si>
    <t>DBR0657</t>
  </si>
  <si>
    <t>DBR0658</t>
  </si>
  <si>
    <t>DBR0659</t>
  </si>
  <si>
    <t>DBR0660</t>
  </si>
  <si>
    <t>DBR0661</t>
  </si>
  <si>
    <t>DBR0662</t>
  </si>
  <si>
    <t>DBR0663</t>
  </si>
  <si>
    <t>DBR0664</t>
  </si>
  <si>
    <t>DBR0665</t>
  </si>
  <si>
    <t>DBR0666</t>
  </si>
  <si>
    <t>DBR0667</t>
  </si>
  <si>
    <t>DBR0668</t>
  </si>
  <si>
    <t>DBR0669</t>
  </si>
  <si>
    <t>DBR0670</t>
  </si>
  <si>
    <t>DBR0671</t>
  </si>
  <si>
    <t>DBR0672</t>
  </si>
  <si>
    <t>DBR0673</t>
  </si>
  <si>
    <t>DBR0674</t>
  </si>
  <si>
    <t>DBR0675</t>
  </si>
  <si>
    <t>DBR0676</t>
  </si>
  <si>
    <t>DBR0677</t>
  </si>
  <si>
    <t>DBR0678</t>
  </si>
  <si>
    <t>DBR0679</t>
  </si>
  <si>
    <t>DBR0680</t>
  </si>
  <si>
    <t>DBR0681</t>
  </si>
  <si>
    <t>DBR0682</t>
  </si>
  <si>
    <t>DBR0683</t>
  </si>
  <si>
    <t>DBR0684</t>
  </si>
  <si>
    <t>DBR0685</t>
  </si>
  <si>
    <t>DBR0686</t>
  </si>
  <si>
    <t>DBR0687</t>
  </si>
  <si>
    <t>DBR0688</t>
  </si>
  <si>
    <t>DBR0689</t>
  </si>
  <si>
    <t>DBR0690</t>
  </si>
  <si>
    <t>DBR0691</t>
  </si>
  <si>
    <t>DBR0692</t>
  </si>
  <si>
    <t>DBR0693</t>
  </si>
  <si>
    <t>DBR0694</t>
  </si>
  <si>
    <t>DBR0695</t>
  </si>
  <si>
    <t>DBR0696</t>
  </si>
  <si>
    <t>DBR0697</t>
  </si>
  <si>
    <t>DBR0698</t>
  </si>
  <si>
    <t>DBR0699</t>
  </si>
  <si>
    <t>DBR0700</t>
  </si>
  <si>
    <t>DBR0701</t>
  </si>
  <si>
    <t>DBR0702</t>
  </si>
  <si>
    <t>DBR0703</t>
  </si>
  <si>
    <t>DBR0704</t>
  </si>
  <si>
    <t>DBR0705</t>
  </si>
  <si>
    <t>DBR0706</t>
  </si>
  <si>
    <t>DBR0707</t>
  </si>
  <si>
    <t>DBR0708</t>
  </si>
  <si>
    <t>DBR0709</t>
  </si>
  <si>
    <t>DBR0710</t>
  </si>
  <si>
    <t>DBR0711</t>
  </si>
  <si>
    <t>DBR0712</t>
  </si>
  <si>
    <t>DBR0713</t>
  </si>
  <si>
    <t>DBR0714</t>
  </si>
  <si>
    <t>DBR0715</t>
  </si>
  <si>
    <t>DBR0716</t>
  </si>
  <si>
    <t>DBR0717</t>
  </si>
  <si>
    <t>DBR0718</t>
  </si>
  <si>
    <t>DBR0719</t>
  </si>
  <si>
    <t>DBR0720</t>
  </si>
  <si>
    <t>DBR0721</t>
  </si>
  <si>
    <t>DBR0722</t>
  </si>
  <si>
    <t>DBR0723</t>
  </si>
  <si>
    <t>DBR0724</t>
  </si>
  <si>
    <t>DBR0725</t>
  </si>
  <si>
    <t>DBR0726</t>
  </si>
  <si>
    <t>DBR0727</t>
  </si>
  <si>
    <t>DBR0728</t>
  </si>
  <si>
    <t>DBR0729</t>
  </si>
  <si>
    <t>DBR0730</t>
  </si>
  <si>
    <t>DBR0731</t>
  </si>
  <si>
    <t>DBR0732</t>
  </si>
  <si>
    <t>DBR0733</t>
  </si>
  <si>
    <t>DBR0734</t>
  </si>
  <si>
    <t>DBR0735</t>
  </si>
  <si>
    <t>DBR0736</t>
  </si>
  <si>
    <t>DBR0737</t>
  </si>
  <si>
    <t>DBR0738</t>
  </si>
  <si>
    <t>DBR0739</t>
  </si>
  <si>
    <t>DBR0740</t>
  </si>
  <si>
    <t>DBR0741</t>
  </si>
  <si>
    <t>DBR0742</t>
  </si>
  <si>
    <t>DBR0743</t>
  </si>
  <si>
    <t>DBR0744</t>
  </si>
  <si>
    <t>DBR0745</t>
  </si>
  <si>
    <t>DBR0746</t>
  </si>
  <si>
    <t>DBR0747</t>
  </si>
  <si>
    <t>DBR0748</t>
  </si>
  <si>
    <t>DBR0749</t>
  </si>
  <si>
    <t>DBR0750</t>
  </si>
  <si>
    <t>DBR0751</t>
  </si>
  <si>
    <t>DBR0752</t>
  </si>
  <si>
    <t>DBR0753</t>
  </si>
  <si>
    <t>DBR0754</t>
  </si>
  <si>
    <t>DBR0755</t>
  </si>
  <si>
    <t>DBR0756</t>
  </si>
  <si>
    <t>DBR0757</t>
  </si>
  <si>
    <t>DBR0758</t>
  </si>
  <si>
    <t>DBR0759</t>
  </si>
  <si>
    <t>DBR0760</t>
  </si>
  <si>
    <t>DBR0761</t>
  </si>
  <si>
    <t>DBR0762</t>
  </si>
  <si>
    <t>DBR0763</t>
  </si>
  <si>
    <t>DBR0764</t>
  </si>
  <si>
    <t>DBR0765</t>
  </si>
  <si>
    <t>DBR0766</t>
  </si>
  <si>
    <t>DBR0767</t>
  </si>
  <si>
    <t>DBR0768</t>
  </si>
  <si>
    <t>DBR0769</t>
  </si>
  <si>
    <t>DBR0770</t>
  </si>
  <si>
    <t>DBR0771</t>
  </si>
  <si>
    <t>DBR0772</t>
  </si>
  <si>
    <t>DBR0773</t>
  </si>
  <si>
    <t>DBR0774</t>
  </si>
  <si>
    <t>DBR0775</t>
  </si>
  <si>
    <t>DBR0776</t>
  </si>
  <si>
    <t>DBR0777</t>
  </si>
  <si>
    <t>DBR0778</t>
  </si>
  <si>
    <t>DBR0779</t>
  </si>
  <si>
    <t>DBR0780</t>
  </si>
  <si>
    <t>DBR0781</t>
  </si>
  <si>
    <t>DBR0782</t>
  </si>
  <si>
    <t>DBR0783</t>
  </si>
  <si>
    <t>DBR0784</t>
  </si>
  <si>
    <t>DBR0785</t>
  </si>
  <si>
    <t>DBR0786</t>
  </si>
  <si>
    <t>DBR0787</t>
  </si>
  <si>
    <t>DBR0788</t>
  </si>
  <si>
    <t>DBR0789</t>
  </si>
  <si>
    <t>DBR0790</t>
  </si>
  <si>
    <t>DBR0791</t>
  </si>
  <si>
    <t>DBR0792</t>
  </si>
  <si>
    <t>DBR0793</t>
  </si>
  <si>
    <t>DBR0794</t>
  </si>
  <si>
    <t>DBR0795</t>
  </si>
  <si>
    <t>DBR0796</t>
  </si>
  <si>
    <t>DBR0797</t>
  </si>
  <si>
    <t>DBR0798</t>
  </si>
  <si>
    <t>DBR0799</t>
  </si>
  <si>
    <t>DBR0800</t>
  </si>
  <si>
    <t>DBR0801</t>
  </si>
  <si>
    <t>DBR0802</t>
  </si>
  <si>
    <t>DBR0803</t>
  </si>
  <si>
    <t>DBR0804</t>
  </si>
  <si>
    <t>DBR0805</t>
  </si>
  <si>
    <t>DBR0806</t>
  </si>
  <si>
    <t>DBR0807</t>
  </si>
  <si>
    <t>DBR0808</t>
  </si>
  <si>
    <t>DBR0809</t>
  </si>
  <si>
    <t>DBR0810</t>
  </si>
  <si>
    <t>DBR0811</t>
  </si>
  <si>
    <t>DBR0812</t>
  </si>
  <si>
    <t>DBR0813</t>
  </si>
  <si>
    <t>DBR0814</t>
  </si>
  <si>
    <t>DBR0815</t>
  </si>
  <si>
    <t>DBR0816</t>
  </si>
  <si>
    <t>DBR0817</t>
  </si>
  <si>
    <t>DBR0818</t>
  </si>
  <si>
    <t>DBR0819</t>
  </si>
  <si>
    <t>DBR0820</t>
  </si>
  <si>
    <t>DBR0821</t>
  </si>
  <si>
    <t>DBR0822</t>
  </si>
  <si>
    <t>DBR0823</t>
  </si>
  <si>
    <t>DBR0824</t>
  </si>
  <si>
    <t>DBR0825</t>
  </si>
  <si>
    <t>DBR0826</t>
  </si>
  <si>
    <t>DBR0827</t>
  </si>
  <si>
    <t>DBR0828</t>
  </si>
  <si>
    <t>DBR0829</t>
  </si>
  <si>
    <t>DBR0830</t>
  </si>
  <si>
    <t>DBR0831</t>
  </si>
  <si>
    <t>DBR0832</t>
  </si>
  <si>
    <t>DBR0833</t>
  </si>
  <si>
    <t>DBR0834</t>
  </si>
  <si>
    <t>DBR0835</t>
  </si>
  <si>
    <t>DBR0836</t>
  </si>
  <si>
    <t>DBR0837</t>
  </si>
  <si>
    <t>DBR0838</t>
  </si>
  <si>
    <t>DBR0839</t>
  </si>
  <si>
    <t>DBR0840</t>
  </si>
  <si>
    <t>DBR0841</t>
  </si>
  <si>
    <t>DBR0842</t>
  </si>
  <si>
    <t>DBR0843</t>
  </si>
  <si>
    <t>DBR0844</t>
  </si>
  <si>
    <t>DBR0845</t>
  </si>
  <si>
    <t>DBR0846</t>
  </si>
  <si>
    <t>DBR0847</t>
  </si>
  <si>
    <t>DBR0848</t>
  </si>
  <si>
    <t>DBR0849</t>
  </si>
  <si>
    <t>DBR0850</t>
  </si>
  <si>
    <t>DBR0851</t>
  </si>
  <si>
    <t>DBR0852</t>
  </si>
  <si>
    <t>DBR0853</t>
  </si>
  <si>
    <t>DBR0854</t>
  </si>
  <si>
    <t>DBR0855</t>
  </si>
  <si>
    <t>DBR0856</t>
  </si>
  <si>
    <t>DBR0857</t>
  </si>
  <si>
    <t>DBR0858</t>
  </si>
  <si>
    <t>DBR0859</t>
  </si>
  <si>
    <t>DBR0860</t>
  </si>
  <si>
    <t>DBR0861</t>
  </si>
  <si>
    <t>DBR0862</t>
  </si>
  <si>
    <t>DBR0863</t>
  </si>
  <si>
    <t>DBR0864</t>
  </si>
  <si>
    <t>DBR0865</t>
  </si>
  <si>
    <t>DBR0866</t>
  </si>
  <si>
    <t>DBR0867</t>
  </si>
  <si>
    <t>DBR0868</t>
  </si>
  <si>
    <t>DBR0869</t>
  </si>
  <si>
    <t>DBR0870</t>
  </si>
  <si>
    <t>DBR0871</t>
  </si>
  <si>
    <t>DBR0872</t>
  </si>
  <si>
    <t>DBR0873</t>
  </si>
  <si>
    <t>DBR0874</t>
  </si>
  <si>
    <t>DBR0875</t>
  </si>
  <si>
    <t>DBR0876</t>
  </si>
  <si>
    <t>DBR0877</t>
  </si>
  <si>
    <t>DBR0878</t>
  </si>
  <si>
    <t>DBR0879</t>
  </si>
  <si>
    <t>DBR0880</t>
  </si>
  <si>
    <t>DBR0881</t>
  </si>
  <si>
    <t>DBR0882</t>
  </si>
  <si>
    <t>DBR0883</t>
  </si>
  <si>
    <t>DBR0884</t>
  </si>
  <si>
    <t>DBR0885</t>
  </si>
  <si>
    <t>DBR0886</t>
  </si>
  <si>
    <t>DBR0887</t>
  </si>
  <si>
    <t>DBR0888</t>
  </si>
  <si>
    <t>DBR0889</t>
  </si>
  <si>
    <t>DBR0890</t>
  </si>
  <si>
    <t>DBR0891</t>
  </si>
  <si>
    <t>DBR0892</t>
  </si>
  <si>
    <t>DBR0893</t>
  </si>
  <si>
    <t>DBR0894</t>
  </si>
  <si>
    <t>DBR0895</t>
  </si>
  <si>
    <t>DBR0896</t>
  </si>
  <si>
    <t>DBR0897</t>
  </si>
  <si>
    <t>DBR0898</t>
  </si>
  <si>
    <t>DBR0899</t>
  </si>
  <si>
    <t>DBR0900</t>
  </si>
  <si>
    <t>DBR0901</t>
  </si>
  <si>
    <t>DBR0902</t>
  </si>
  <si>
    <t>DBR0903</t>
  </si>
  <si>
    <t>DBR0904</t>
  </si>
  <si>
    <t>DBR0905</t>
  </si>
  <si>
    <t>DBR0906</t>
  </si>
  <si>
    <t>DBR0907</t>
  </si>
  <si>
    <t>DBR0908</t>
  </si>
  <si>
    <t>DBR0909</t>
  </si>
  <si>
    <t>DBR0910</t>
  </si>
  <si>
    <t>DBR0911</t>
  </si>
  <si>
    <t>DBR0912</t>
  </si>
  <si>
    <t>DBR0913</t>
  </si>
  <si>
    <t>DBR0914</t>
  </si>
  <si>
    <t>DBR0915</t>
  </si>
  <si>
    <t>DBR0916</t>
  </si>
  <si>
    <t>DBR0917</t>
  </si>
  <si>
    <t>DBR0918</t>
  </si>
  <si>
    <t>DBR0919</t>
  </si>
  <si>
    <t>DBR0920</t>
  </si>
  <si>
    <t>DBR0921</t>
  </si>
  <si>
    <t>DBR0922</t>
  </si>
  <si>
    <t>DBR0923</t>
  </si>
  <si>
    <t>DBR0924</t>
  </si>
  <si>
    <t>DBR0925</t>
  </si>
  <si>
    <t>DBR0926</t>
  </si>
  <si>
    <t>DBR0927</t>
  </si>
  <si>
    <t>DBR0928</t>
  </si>
  <si>
    <t>DBR0929</t>
  </si>
  <si>
    <t>DBR0930</t>
  </si>
  <si>
    <t>DBR0931</t>
  </si>
  <si>
    <t>DBR0932</t>
  </si>
  <si>
    <t>DBR0933</t>
  </si>
  <si>
    <t>DBR0934</t>
  </si>
  <si>
    <t>DBR0935</t>
  </si>
  <si>
    <t>DBR0936</t>
  </si>
  <si>
    <t>DBR0937</t>
  </si>
  <si>
    <t>DBR0938</t>
  </si>
  <si>
    <t>DBR0939</t>
  </si>
  <si>
    <t>DBR0940</t>
  </si>
  <si>
    <t>DBR0941</t>
  </si>
  <si>
    <t>DBR0942</t>
  </si>
  <si>
    <t>DBR0943</t>
  </si>
  <si>
    <t>DBR0944</t>
  </si>
  <si>
    <t>DBR0945</t>
  </si>
  <si>
    <t>DBR0946</t>
  </si>
  <si>
    <t>DBR0947</t>
  </si>
  <si>
    <t>DBR0948</t>
  </si>
  <si>
    <t>DBR0949</t>
  </si>
  <si>
    <t>DBR0950</t>
  </si>
  <si>
    <t>DBR0951</t>
  </si>
  <si>
    <t>DBR0952</t>
  </si>
  <si>
    <t>DBR0953</t>
  </si>
  <si>
    <t>DBR0954</t>
  </si>
  <si>
    <t>DBR0955</t>
  </si>
  <si>
    <t>DBR0956</t>
  </si>
  <si>
    <t>DBR0957</t>
  </si>
  <si>
    <t>DBR0958</t>
  </si>
  <si>
    <t>DBR0959</t>
  </si>
  <si>
    <t>DBR0960</t>
  </si>
  <si>
    <t>DBR0961</t>
  </si>
  <si>
    <t>DBR0962</t>
  </si>
  <si>
    <t>DBR0963</t>
  </si>
  <si>
    <t>DBR0964</t>
  </si>
  <si>
    <t>DBR0965</t>
  </si>
  <si>
    <t>DBR0966</t>
  </si>
  <si>
    <t>DBR0967</t>
  </si>
  <si>
    <t>DBR0968</t>
  </si>
  <si>
    <t>DBR0969</t>
  </si>
  <si>
    <t>DBR0970</t>
  </si>
  <si>
    <t>DBR0971</t>
  </si>
  <si>
    <t>DBR0972</t>
  </si>
  <si>
    <t>DBR0973</t>
  </si>
  <si>
    <t>DBR0974</t>
  </si>
  <si>
    <t>DBR0975</t>
  </si>
  <si>
    <t>DBR0976</t>
  </si>
  <si>
    <t>DBR0977</t>
  </si>
  <si>
    <t>DBR0978</t>
  </si>
  <si>
    <t>DBR0979</t>
  </si>
  <si>
    <t>DBR0980</t>
  </si>
  <si>
    <t>DBR0981</t>
  </si>
  <si>
    <t>DBR0982</t>
  </si>
  <si>
    <t>DBR0983</t>
  </si>
  <si>
    <t>DBR0984</t>
  </si>
  <si>
    <t>DBR0985</t>
  </si>
  <si>
    <t>DBR0986</t>
  </si>
  <si>
    <t>DBR0987</t>
  </si>
  <si>
    <t>DBR0988</t>
  </si>
  <si>
    <t>DBR0989</t>
  </si>
  <si>
    <t>DBR0990</t>
  </si>
  <si>
    <t>DBR0991</t>
  </si>
  <si>
    <t>DBR0992</t>
  </si>
  <si>
    <t>DBR0993</t>
  </si>
  <si>
    <t>DBR0994</t>
  </si>
  <si>
    <t>DBR0995</t>
  </si>
  <si>
    <t>DBR0996</t>
  </si>
  <si>
    <t>DBR0997</t>
  </si>
  <si>
    <t>DBR0998</t>
  </si>
  <si>
    <t>DBR0999</t>
  </si>
  <si>
    <t>DBR1000</t>
  </si>
  <si>
    <t xml:space="preserve"> RetailHub Inc</t>
  </si>
  <si>
    <t>Technology</t>
  </si>
  <si>
    <t>Yes</t>
  </si>
  <si>
    <t>Valid</t>
  </si>
  <si>
    <t>No</t>
  </si>
  <si>
    <t>Approved</t>
  </si>
  <si>
    <t>Paid</t>
  </si>
  <si>
    <t>East Region</t>
  </si>
  <si>
    <t>Finance</t>
  </si>
  <si>
    <t>Deficient</t>
  </si>
  <si>
    <t>Pending</t>
  </si>
  <si>
    <t>West Region</t>
  </si>
  <si>
    <t>SecureTech Ltd</t>
  </si>
  <si>
    <t>Rejected</t>
  </si>
  <si>
    <t>Not Applicable</t>
  </si>
  <si>
    <t>Alpha Corp</t>
  </si>
  <si>
    <t>South Region</t>
  </si>
  <si>
    <t>Healthcare</t>
  </si>
  <si>
    <t>FinServe Systems</t>
  </si>
  <si>
    <t>Education</t>
  </si>
  <si>
    <t>HealthPlus Systems</t>
  </si>
  <si>
    <t>Retail</t>
  </si>
  <si>
    <t>North Region</t>
  </si>
  <si>
    <t xml:space="preserve"> DataCore Solutions</t>
  </si>
  <si>
    <t>KPI Names</t>
  </si>
  <si>
    <t>Total Claims</t>
  </si>
  <si>
    <t>Submitted Before Deadline %</t>
  </si>
  <si>
    <t>Deficiency Rate %</t>
  </si>
  <si>
    <t>Rejection Rate %</t>
  </si>
  <si>
    <t>Final Approval Rate %</t>
  </si>
  <si>
    <t>Total Settlement Amount</t>
  </si>
  <si>
    <t>Average Settlement Amount</t>
  </si>
  <si>
    <t>Average Processing Days</t>
  </si>
  <si>
    <t>Distribution Completion Rate %</t>
  </si>
  <si>
    <t>Grand Total</t>
  </si>
  <si>
    <t>Total Settlement</t>
  </si>
  <si>
    <t>Average Settlement</t>
  </si>
  <si>
    <t>Breach Type</t>
  </si>
  <si>
    <t>Final Status</t>
  </si>
  <si>
    <t>Data Breach Claims Analytics Dashboard</t>
  </si>
  <si>
    <t>Approval Rate</t>
  </si>
  <si>
    <t>Avg Processing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</si>
</sst>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&quot;₹&quot;\ #,##0.00;[Red]&quot;₹&quot;\ #,##0.00"/>
    <numFmt numFmtId="166" formatCode="0.0"/>
    <numFmt numFmtId="167" formatCode="&quot;₹&quot;\ #,##0.0;[Red]&quot;₹&quot;\ #,##0.0"/>
    <numFmt numFmtId="168" formatCode="&quot;₹&quot;\ 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168" fontId="0" fillId="0" borderId="0" xfId="0" applyNumberFormat="1"/>
    <xf numFmtId="0" fontId="2" fillId="0" borderId="0" xfId="0" applyFont="1"/>
    <xf numFmtId="0" fontId="4" fillId="0" borderId="0" xfId="0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4" borderId="0" xfId="0" applyFill="1"/>
    <xf numFmtId="0" fontId="3" fillId="2" borderId="1" xfId="0" applyFont="1" applyFill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168" fontId="3" fillId="2" borderId="1" xfId="0" applyNumberFormat="1" applyFont="1" applyFill="1" applyBorder="1" applyAlignment="1">
      <alignment horizontal="center" vertical="center"/>
    </xf>
    <xf numFmtId="166" fontId="3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[Data_Breach_Claims_Analytics_India.xlsx]Industry_Analysis!PivotTable1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Claims by Industry</a:t>
            </a:r>
          </a:p>
        </c:rich>
      </c:tx>
      <c:layout>
        <c:manualLayout>
          <c:xMode val="edge"/>
          <c:yMode val="edge"/>
          <c:x val="0.35297797246232426"/>
          <c:y val="0.11905437228454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Industry_Analysis!$B$3</c:f>
              <c:strCache>
                <c:ptCount val="1"/>
                <c:pt idx="0">
                  <c:v>Total Claims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Industry_Analysis!$A$4:$A$9</c:f>
              <c:strCache>
                <c:ptCount val="5"/>
                <c:pt idx="0">
                  <c:v>Retail</c:v>
                </c:pt>
                <c:pt idx="1">
                  <c:v>Education</c:v>
                </c:pt>
                <c:pt idx="2">
                  <c:v>Technology</c:v>
                </c:pt>
                <c:pt idx="3">
                  <c:v>Finance</c:v>
                </c:pt>
                <c:pt idx="4">
                  <c:v>Healthcare</c:v>
                </c:pt>
              </c:strCache>
            </c:strRef>
          </c:cat>
          <c:val>
            <c:numRef>
              <c:f>Industry_Analysis!$B$4:$B$9</c:f>
              <c:numCache>
                <c:formatCode>General</c:formatCode>
                <c:ptCount val="5"/>
                <c:pt idx="0">
                  <c:v>213</c:v>
                </c:pt>
                <c:pt idx="1">
                  <c:v>200</c:v>
                </c:pt>
                <c:pt idx="2">
                  <c:v>189</c:v>
                </c:pt>
                <c:pt idx="3">
                  <c:v>209</c:v>
                </c:pt>
                <c:pt idx="4">
                  <c:v>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BE-49E7-ADB3-422EB2B53E9B}"/>
            </c:ext>
          </c:extLst>
        </c:ser>
        <c:ser>
          <c:idx val="1"/>
          <c:order val="1"/>
          <c:tx>
            <c:strRef>
              <c:f>Industry_Analysis!$C$3</c:f>
              <c:strCache>
                <c:ptCount val="1"/>
                <c:pt idx="0">
                  <c:v>Total Settlement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Industry_Analysis!$A$4:$A$9</c:f>
              <c:strCache>
                <c:ptCount val="5"/>
                <c:pt idx="0">
                  <c:v>Retail</c:v>
                </c:pt>
                <c:pt idx="1">
                  <c:v>Education</c:v>
                </c:pt>
                <c:pt idx="2">
                  <c:v>Technology</c:v>
                </c:pt>
                <c:pt idx="3">
                  <c:v>Finance</c:v>
                </c:pt>
                <c:pt idx="4">
                  <c:v>Healthcare</c:v>
                </c:pt>
              </c:strCache>
            </c:strRef>
          </c:cat>
          <c:val>
            <c:numRef>
              <c:f>Industry_Analysis!$C$4:$C$9</c:f>
              <c:numCache>
                <c:formatCode>"₹"\ #,##0.0;[Red]"₹"\ #,##0.0</c:formatCode>
                <c:ptCount val="5"/>
                <c:pt idx="0">
                  <c:v>14127410</c:v>
                </c:pt>
                <c:pt idx="1">
                  <c:v>12345583</c:v>
                </c:pt>
                <c:pt idx="2">
                  <c:v>11501286</c:v>
                </c:pt>
                <c:pt idx="3">
                  <c:v>12070582</c:v>
                </c:pt>
                <c:pt idx="4">
                  <c:v>9928885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BE-49E7-ADB3-422EB2B53E9B}"/>
            </c:ext>
          </c:extLst>
        </c:ser>
        <c:ser>
          <c:idx val="2"/>
          <c:order val="2"/>
          <c:tx>
            <c:strRef>
              <c:f>Industry_Analysis!$D$3</c:f>
              <c:strCache>
                <c:ptCount val="1"/>
                <c:pt idx="0">
                  <c:v>Average Settlement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Industry_Analysis!$A$4:$A$9</c:f>
              <c:strCache>
                <c:ptCount val="5"/>
                <c:pt idx="0">
                  <c:v>Retail</c:v>
                </c:pt>
                <c:pt idx="1">
                  <c:v>Education</c:v>
                </c:pt>
                <c:pt idx="2">
                  <c:v>Technology</c:v>
                </c:pt>
                <c:pt idx="3">
                  <c:v>Finance</c:v>
                </c:pt>
                <c:pt idx="4">
                  <c:v>Healthcare</c:v>
                </c:pt>
              </c:strCache>
            </c:strRef>
          </c:cat>
          <c:val>
            <c:numRef>
              <c:f>Industry_Analysis!$D$4:$D$9</c:f>
              <c:numCache>
                <c:formatCode>"₹"\ #,##0.00;[Red]"₹"\ #,##0.00</c:formatCode>
                <c:ptCount val="5"/>
                <c:pt idx="0">
                  <c:v>66325.868544600933</c:v>
                </c:pt>
                <c:pt idx="1">
                  <c:v>61727.915000000001</c:v>
                </c:pt>
                <c:pt idx="2">
                  <c:v>60853.365079365081</c:v>
                </c:pt>
                <c:pt idx="3">
                  <c:v>57753.980861244017</c:v>
                </c:pt>
                <c:pt idx="4">
                  <c:v>52533.783068783072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BE-49E7-ADB3-422EB2B53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9386048"/>
        <c:axId val="413029616"/>
      </c:barChart>
      <c:catAx>
        <c:axId val="269386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029616"/>
        <c:crosses val="autoZero"/>
        <c:auto val="1"/>
        <c:lblAlgn val="ctr"/>
        <c:lblOffset val="100"/>
        <c:noMultiLvlLbl val="0"/>
      </c:catAx>
      <c:valAx>
        <c:axId val="41302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38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[Data_Breach_Claims_Analytics_India.xlsx]Region_Analysis!PivotTable3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Claims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Region_Analysis!$B$3</c:f>
              <c:strCache>
                <c:ptCount val="1"/>
                <c:pt idx="0">
                  <c:v>Total Claims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Region_Analysis!$A$4:$A$8</c:f>
              <c:strCache>
                <c:ptCount val="4"/>
                <c:pt idx="0">
                  <c:v>West Region</c:v>
                </c:pt>
                <c:pt idx="1">
                  <c:v>East Region</c:v>
                </c:pt>
                <c:pt idx="2">
                  <c:v>North Region</c:v>
                </c:pt>
                <c:pt idx="3">
                  <c:v>South Region</c:v>
                </c:pt>
              </c:strCache>
            </c:strRef>
          </c:cat>
          <c:val>
            <c:numRef>
              <c:f>Region_Analysis!$B$4:$B$8</c:f>
              <c:numCache>
                <c:formatCode>General</c:formatCode>
                <c:ptCount val="4"/>
                <c:pt idx="0">
                  <c:v>275</c:v>
                </c:pt>
                <c:pt idx="1">
                  <c:v>237</c:v>
                </c:pt>
                <c:pt idx="2">
                  <c:v>232</c:v>
                </c:pt>
                <c:pt idx="3">
                  <c:v>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2A-456F-A84E-605DB46A77CF}"/>
            </c:ext>
          </c:extLst>
        </c:ser>
        <c:ser>
          <c:idx val="1"/>
          <c:order val="1"/>
          <c:tx>
            <c:strRef>
              <c:f>Region_Analysis!$C$3</c:f>
              <c:strCache>
                <c:ptCount val="1"/>
                <c:pt idx="0">
                  <c:v>Total Settlement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Region_Analysis!$A$4:$A$8</c:f>
              <c:strCache>
                <c:ptCount val="4"/>
                <c:pt idx="0">
                  <c:v>West Region</c:v>
                </c:pt>
                <c:pt idx="1">
                  <c:v>East Region</c:v>
                </c:pt>
                <c:pt idx="2">
                  <c:v>North Region</c:v>
                </c:pt>
                <c:pt idx="3">
                  <c:v>South Region</c:v>
                </c:pt>
              </c:strCache>
            </c:strRef>
          </c:cat>
          <c:val>
            <c:numRef>
              <c:f>Region_Analysis!$C$4:$C$8</c:f>
              <c:numCache>
                <c:formatCode>"₹"\ #,##0.00</c:formatCode>
                <c:ptCount val="4"/>
                <c:pt idx="0">
                  <c:v>16031793</c:v>
                </c:pt>
                <c:pt idx="1">
                  <c:v>15243386</c:v>
                </c:pt>
                <c:pt idx="2">
                  <c:v>14976307</c:v>
                </c:pt>
                <c:pt idx="3">
                  <c:v>13722260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2A-456F-A84E-605DB46A7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0514032"/>
        <c:axId val="1270526512"/>
      </c:barChart>
      <c:catAx>
        <c:axId val="1270514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526512"/>
        <c:crosses val="autoZero"/>
        <c:auto val="1"/>
        <c:lblAlgn val="ctr"/>
        <c:lblOffset val="100"/>
        <c:noMultiLvlLbl val="0"/>
      </c:catAx>
      <c:valAx>
        <c:axId val="1270526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514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[Data_Breach_Claims_Analytics_India.xlsx]Claim_Status_Analysis!PivotTable2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Claim Approval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Claim_Status_Analysis!$B$3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208-430B-8C42-AC571A8AF7F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208-430B-8C42-AC571A8AF7F2}"/>
              </c:ext>
            </c:extLst>
          </c:dPt>
          <c:cat>
            <c:strRef>
              <c:f>Claim_Status_Analysis!$A$4:$A$6</c:f>
              <c:strCache>
                <c:ptCount val="2"/>
                <c:pt idx="0">
                  <c:v>Approved</c:v>
                </c:pt>
                <c:pt idx="1">
                  <c:v>Rejected</c:v>
                </c:pt>
              </c:strCache>
            </c:strRef>
          </c:cat>
          <c:val>
            <c:numRef>
              <c:f>Claim_Status_Analysis!$B$4:$B$6</c:f>
              <c:numCache>
                <c:formatCode>General</c:formatCode>
                <c:ptCount val="2"/>
                <c:pt idx="0">
                  <c:v>567</c:v>
                </c:pt>
                <c:pt idx="1">
                  <c:v>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208-430B-8C42-AC571A8AF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[Data_Breach_Claims_Analytics_India.xlsx]Processing_Time_Analysis!PivotTable4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Average Processing Time by Industry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Processing_Time_Analysis!$B$3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Processing_Time_Analysis!$A$4:$A$9</c:f>
              <c:strCache>
                <c:ptCount val="5"/>
                <c:pt idx="0">
                  <c:v>Finance</c:v>
                </c:pt>
                <c:pt idx="1">
                  <c:v>Retail</c:v>
                </c:pt>
                <c:pt idx="2">
                  <c:v>Education</c:v>
                </c:pt>
                <c:pt idx="3">
                  <c:v>Technology</c:v>
                </c:pt>
                <c:pt idx="4">
                  <c:v>Healthcare</c:v>
                </c:pt>
              </c:strCache>
            </c:strRef>
          </c:cat>
          <c:val>
            <c:numRef>
              <c:f>Processing_Time_Analysis!$B$4:$B$9</c:f>
              <c:numCache>
                <c:formatCode>General</c:formatCode>
                <c:ptCount val="5"/>
                <c:pt idx="0">
                  <c:v>47.71291866028708</c:v>
                </c:pt>
                <c:pt idx="1">
                  <c:v>47.136150234741784</c:v>
                </c:pt>
                <c:pt idx="2">
                  <c:v>45.72</c:v>
                </c:pt>
                <c:pt idx="3">
                  <c:v>44.862433862433861</c:v>
                </c:pt>
                <c:pt idx="4">
                  <c:v>44.349206349206348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A3-401E-9224-33CD003A7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0549072"/>
        <c:axId val="1270557232"/>
      </c:barChart>
      <c:catAx>
        <c:axId val="127054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557232"/>
        <c:crosses val="autoZero"/>
        <c:auto val="1"/>
        <c:lblAlgn val="ctr"/>
        <c:lblOffset val="100"/>
        <c:noMultiLvlLbl val="0"/>
      </c:catAx>
      <c:valAx>
        <c:axId val="1270557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54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89763</xdr:colOff>
      <xdr:row>6</xdr:row>
      <xdr:rowOff>54331</xdr:rowOff>
    </xdr:from>
    <xdr:to>
      <xdr:col>3</xdr:col>
      <xdr:colOff>277091</xdr:colOff>
      <xdr:row>18</xdr:row>
      <xdr:rowOff>46621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EE881D0F-4502-7B65-35A3-89DB0ED557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581439</xdr:colOff>
      <xdr:row>5</xdr:row>
      <xdr:rowOff>226731</xdr:rowOff>
    </xdr:from>
    <xdr:to>
      <xdr:col>6</xdr:col>
      <xdr:colOff>568037</xdr:colOff>
      <xdr:row>17</xdr:row>
      <xdr:rowOff>220341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9D178298-ABDF-FEF8-A8C2-77C9347823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46809</xdr:colOff>
      <xdr:row>19</xdr:row>
      <xdr:rowOff>213537</xdr:rowOff>
    </xdr:from>
    <xdr:to>
      <xdr:col>3</xdr:col>
      <xdr:colOff>12095</xdr:colOff>
      <xdr:row>32</xdr:row>
      <xdr:rowOff>12095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B1C58198-FC8C-F295-339F-4E06310C6B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592666</xdr:colOff>
      <xdr:row>19</xdr:row>
      <xdr:rowOff>225631</xdr:rowOff>
    </xdr:from>
    <xdr:to>
      <xdr:col>6</xdr:col>
      <xdr:colOff>459619</xdr:colOff>
      <xdr:row>32</xdr:row>
      <xdr:rowOff>12096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AF0CBC98-979B-2383-A5AA-E9CFDE6FCD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hitra" refreshedDate="46083.451934027777" createdVersion="8" refreshedVersion="8" minRefreshableVersion="3" recordCount="1000" xr:uid="{50FB8D72-05F5-4E15-A486-489952EF8B6C}">
  <cacheSource type="worksheet">
    <worksheetSource ref="A1:N1001" sheet="Dataset"/>
  </cacheSource>
  <cacheFields count="14">
    <cacheField name="Case_ID" numFmtId="0">
      <sharedItems/>
    </cacheField>
    <cacheField name="Breach_Company" numFmtId="0">
      <sharedItems count="6">
        <s v=" RetailHub Inc"/>
        <s v="SecureTech Ltd"/>
        <s v="Alpha Corp"/>
        <s v="FinServe Systems"/>
        <s v="HealthPlus Systems"/>
        <s v=" DataCore Solutions"/>
      </sharedItems>
    </cacheField>
    <cacheField name="Industry" numFmtId="0">
      <sharedItems count="5">
        <s v="Technology"/>
        <s v="Finance"/>
        <s v="Healthcare"/>
        <s v="Education"/>
        <s v="Retail"/>
      </sharedItems>
    </cacheField>
    <cacheField name="Notice_Issue_Date" numFmtId="14">
      <sharedItems containsSemiMixedTypes="0" containsNonDate="0" containsDate="1" containsString="0" minDate="2025-01-01T00:00:00" maxDate="2025-12-29T00:00:00"/>
    </cacheField>
    <cacheField name="Claim_Submission_Date" numFmtId="14">
      <sharedItems containsSemiMixedTypes="0" containsNonDate="0" containsDate="1" containsString="0" minDate="2025-01-06T00:00:00" maxDate="2026-02-11T00:00:00"/>
    </cacheField>
    <cacheField name="Submission_Before_Deadline" numFmtId="0">
      <sharedItems/>
    </cacheField>
    <cacheField name="Initial_Review_Status" numFmtId="0">
      <sharedItems/>
    </cacheField>
    <cacheField name="Deficiency_Notice_Sent" numFmtId="0">
      <sharedItems/>
    </cacheField>
    <cacheField name="Documents_Resubmitted" numFmtId="0">
      <sharedItems/>
    </cacheField>
    <cacheField name="Final_Approval_Status" numFmtId="0">
      <sharedItems count="2">
        <s v="Approved"/>
        <s v="Rejected"/>
      </sharedItems>
    </cacheField>
    <cacheField name="Settlement_Amount" numFmtId="0">
      <sharedItems containsSemiMixedTypes="0" containsString="0" containsNumber="1" containsInteger="1" minValue="0" maxValue="201990" count="568">
        <n v="55648"/>
        <n v="93191"/>
        <n v="0"/>
        <n v="141105"/>
        <n v="74279"/>
        <n v="167527"/>
        <n v="114717"/>
        <n v="197412"/>
        <n v="169975"/>
        <n v="86278"/>
        <n v="127765"/>
        <n v="58532"/>
        <n v="181073"/>
        <n v="76903"/>
        <n v="23495"/>
        <n v="122128"/>
        <n v="136225"/>
        <n v="40299"/>
        <n v="175112"/>
        <n v="199282"/>
        <n v="94044"/>
        <n v="98629"/>
        <n v="38669"/>
        <n v="164035"/>
        <n v="188191"/>
        <n v="148966"/>
        <n v="47051"/>
        <n v="124245"/>
        <n v="133660"/>
        <n v="115218"/>
        <n v="112626"/>
        <n v="99144"/>
        <n v="5515"/>
        <n v="115079"/>
        <n v="113465"/>
        <n v="162387"/>
        <n v="158769"/>
        <n v="51975"/>
        <n v="68939"/>
        <n v="89811"/>
        <n v="134497"/>
        <n v="105569"/>
        <n v="110372"/>
        <n v="132921"/>
        <n v="43889"/>
        <n v="72990"/>
        <n v="183307"/>
        <n v="157111"/>
        <n v="172461"/>
        <n v="115249"/>
        <n v="147734"/>
        <n v="164919"/>
        <n v="52592"/>
        <n v="104003"/>
        <n v="107336"/>
        <n v="43346"/>
        <n v="25148"/>
        <n v="117529"/>
        <n v="154613"/>
        <n v="11730"/>
        <n v="36215"/>
        <n v="166401"/>
        <n v="52753"/>
        <n v="148776"/>
        <n v="80075"/>
        <n v="168388"/>
        <n v="158521"/>
        <n v="182961"/>
        <n v="30684"/>
        <n v="165214"/>
        <n v="126719"/>
        <n v="77358"/>
        <n v="68372"/>
        <n v="22460"/>
        <n v="153830"/>
        <n v="49072"/>
        <n v="180995"/>
        <n v="143966"/>
        <n v="159954"/>
        <n v="34593"/>
        <n v="114572"/>
        <n v="98531"/>
        <n v="152690"/>
        <n v="36504"/>
        <n v="7906"/>
        <n v="82587"/>
        <n v="123109"/>
        <n v="21175"/>
        <n v="6966"/>
        <n v="147077"/>
        <n v="72544"/>
        <n v="72817"/>
        <n v="157705"/>
        <n v="66558"/>
        <n v="108086"/>
        <n v="111539"/>
        <n v="15799"/>
        <n v="77247"/>
        <n v="70396"/>
        <n v="53855"/>
        <n v="123412"/>
        <n v="135242"/>
        <n v="160201"/>
        <n v="60108"/>
        <n v="64422"/>
        <n v="104729"/>
        <n v="79592"/>
        <n v="30797"/>
        <n v="46094"/>
        <n v="118974"/>
        <n v="158923"/>
        <n v="133617"/>
        <n v="153530"/>
        <n v="106131"/>
        <n v="199483"/>
        <n v="30122"/>
        <n v="154080"/>
        <n v="59108"/>
        <n v="23410"/>
        <n v="187105"/>
        <n v="181953"/>
        <n v="134353"/>
        <n v="198308"/>
        <n v="10840"/>
        <n v="145055"/>
        <n v="178161"/>
        <n v="193332"/>
        <n v="99470"/>
        <n v="91895"/>
        <n v="183749"/>
        <n v="67716"/>
        <n v="167356"/>
        <n v="196951"/>
        <n v="96121"/>
        <n v="9404"/>
        <n v="152854"/>
        <n v="78984"/>
        <n v="153555"/>
        <n v="113359"/>
        <n v="104215"/>
        <n v="43408"/>
        <n v="14057"/>
        <n v="62049"/>
        <n v="133266"/>
        <n v="112886"/>
        <n v="18151"/>
        <n v="104595"/>
        <n v="201628"/>
        <n v="103732"/>
        <n v="167703"/>
        <n v="47787"/>
        <n v="44786"/>
        <n v="180375"/>
        <n v="164734"/>
        <n v="21846"/>
        <n v="130925"/>
        <n v="61230"/>
        <n v="44020"/>
        <n v="137330"/>
        <n v="172219"/>
        <n v="5699"/>
        <n v="8603"/>
        <n v="132317"/>
        <n v="184886"/>
        <n v="88687"/>
        <n v="44288"/>
        <n v="198958"/>
        <n v="68911"/>
        <n v="162981"/>
        <n v="196857"/>
        <n v="153342"/>
        <n v="171146"/>
        <n v="81778"/>
        <n v="77685"/>
        <n v="162580"/>
        <n v="67155"/>
        <n v="199166"/>
        <n v="170562"/>
        <n v="81146"/>
        <n v="133320"/>
        <n v="46805"/>
        <n v="72455"/>
        <n v="141257"/>
        <n v="65550"/>
        <n v="37410"/>
        <n v="36424"/>
        <n v="94723"/>
        <n v="97489"/>
        <n v="123417"/>
        <n v="162502"/>
        <n v="74306"/>
        <n v="51744"/>
        <n v="82391"/>
        <n v="147428"/>
        <n v="132912"/>
        <n v="39765"/>
        <n v="118465"/>
        <n v="91844"/>
        <n v="52767"/>
        <n v="150941"/>
        <n v="155871"/>
        <n v="95531"/>
        <n v="61153"/>
        <n v="177685"/>
        <n v="38608"/>
        <n v="49558"/>
        <n v="170555"/>
        <n v="195915"/>
        <n v="45658"/>
        <n v="67560"/>
        <n v="143439"/>
        <n v="43926"/>
        <n v="180726"/>
        <n v="39047"/>
        <n v="139941"/>
        <n v="181067"/>
        <n v="71296"/>
        <n v="137905"/>
        <n v="194622"/>
        <n v="133585"/>
        <n v="18046"/>
        <n v="63919"/>
        <n v="73053"/>
        <n v="162279"/>
        <n v="43542"/>
        <n v="115137"/>
        <n v="60909"/>
        <n v="121369"/>
        <n v="30712"/>
        <n v="94101"/>
        <n v="192448"/>
        <n v="195846"/>
        <n v="62001"/>
        <n v="35387"/>
        <n v="136539"/>
        <n v="100973"/>
        <n v="144114"/>
        <n v="150404"/>
        <n v="21534"/>
        <n v="123808"/>
        <n v="45118"/>
        <n v="29092"/>
        <n v="181025"/>
        <n v="48363"/>
        <n v="87979"/>
        <n v="104456"/>
        <n v="154454"/>
        <n v="80337"/>
        <n v="114233"/>
        <n v="7462"/>
        <n v="24295"/>
        <n v="72836"/>
        <n v="103423"/>
        <n v="41582"/>
        <n v="111069"/>
        <n v="109486"/>
        <n v="187090"/>
        <n v="36280"/>
        <n v="94424"/>
        <n v="75261"/>
        <n v="125744"/>
        <n v="65233"/>
        <n v="196109"/>
        <n v="158920"/>
        <n v="43928"/>
        <n v="17844"/>
        <n v="117929"/>
        <n v="156322"/>
        <n v="80285"/>
        <n v="196668"/>
        <n v="116084"/>
        <n v="156297"/>
        <n v="182286"/>
        <n v="144628"/>
        <n v="79952"/>
        <n v="148917"/>
        <n v="36793"/>
        <n v="14845"/>
        <n v="50130"/>
        <n v="109163"/>
        <n v="115542"/>
        <n v="181034"/>
        <n v="86154"/>
        <n v="135639"/>
        <n v="42011"/>
        <n v="161359"/>
        <n v="87982"/>
        <n v="107450"/>
        <n v="16644"/>
        <n v="13096"/>
        <n v="137706"/>
        <n v="186732"/>
        <n v="190129"/>
        <n v="36350"/>
        <n v="127402"/>
        <n v="186388"/>
        <n v="165803"/>
        <n v="163577"/>
        <n v="152810"/>
        <n v="104788"/>
        <n v="63364"/>
        <n v="177757"/>
        <n v="70502"/>
        <n v="82077"/>
        <n v="113712"/>
        <n v="51791"/>
        <n v="176759"/>
        <n v="76764"/>
        <n v="142921"/>
        <n v="150073"/>
        <n v="148468"/>
        <n v="61223"/>
        <n v="194656"/>
        <n v="96203"/>
        <n v="187699"/>
        <n v="124590"/>
        <n v="76656"/>
        <n v="123690"/>
        <n v="166262"/>
        <n v="150105"/>
        <n v="101043"/>
        <n v="170257"/>
        <n v="156643"/>
        <n v="63403"/>
        <n v="179738"/>
        <n v="54290"/>
        <n v="115396"/>
        <n v="186305"/>
        <n v="174613"/>
        <n v="189221"/>
        <n v="152628"/>
        <n v="141361"/>
        <n v="82193"/>
        <n v="51142"/>
        <n v="54928"/>
        <n v="164290"/>
        <n v="186016"/>
        <n v="126762"/>
        <n v="36954"/>
        <n v="178259"/>
        <n v="97696"/>
        <n v="179527"/>
        <n v="153889"/>
        <n v="144278"/>
        <n v="130985"/>
        <n v="12658"/>
        <n v="135910"/>
        <n v="151355"/>
        <n v="41731"/>
        <n v="128336"/>
        <n v="70131"/>
        <n v="27936"/>
        <n v="55504"/>
        <n v="138656"/>
        <n v="80158"/>
        <n v="193754"/>
        <n v="156915"/>
        <n v="72696"/>
        <n v="76470"/>
        <n v="20862"/>
        <n v="179066"/>
        <n v="107185"/>
        <n v="76895"/>
        <n v="164669"/>
        <n v="149601"/>
        <n v="21001"/>
        <n v="59987"/>
        <n v="127569"/>
        <n v="179472"/>
        <n v="24281"/>
        <n v="105172"/>
        <n v="23705"/>
        <n v="92296"/>
        <n v="151499"/>
        <n v="201990"/>
        <n v="181239"/>
        <n v="80656"/>
        <n v="31519"/>
        <n v="173127"/>
        <n v="120765"/>
        <n v="81565"/>
        <n v="71908"/>
        <n v="93554"/>
        <n v="195083"/>
        <n v="94398"/>
        <n v="168410"/>
        <n v="122479"/>
        <n v="6298"/>
        <n v="12443"/>
        <n v="138894"/>
        <n v="78465"/>
        <n v="196093"/>
        <n v="131069"/>
        <n v="36429"/>
        <n v="144457"/>
        <n v="114281"/>
        <n v="102193"/>
        <n v="52867"/>
        <n v="46121"/>
        <n v="86490"/>
        <n v="49193"/>
        <n v="149258"/>
        <n v="6498"/>
        <n v="29488"/>
        <n v="70943"/>
        <n v="151926"/>
        <n v="143917"/>
        <n v="111730"/>
        <n v="151252"/>
        <n v="170407"/>
        <n v="110220"/>
        <n v="63185"/>
        <n v="136187"/>
        <n v="192995"/>
        <n v="180200"/>
        <n v="94543"/>
        <n v="169861"/>
        <n v="127488"/>
        <n v="73169"/>
        <n v="69494"/>
        <n v="146310"/>
        <n v="78905"/>
        <n v="194996"/>
        <n v="72514"/>
        <n v="110735"/>
        <n v="19488"/>
        <n v="82055"/>
        <n v="23845"/>
        <n v="85883"/>
        <n v="26077"/>
        <n v="178542"/>
        <n v="37070"/>
        <n v="28385"/>
        <n v="141205"/>
        <n v="127071"/>
        <n v="110358"/>
        <n v="54203"/>
        <n v="158685"/>
        <n v="30738"/>
        <n v="196032"/>
        <n v="6102"/>
        <n v="143945"/>
        <n v="178456"/>
        <n v="19442"/>
        <n v="7175"/>
        <n v="156797"/>
        <n v="175149"/>
        <n v="196167"/>
        <n v="120011"/>
        <n v="50172"/>
        <n v="114634"/>
        <n v="117979"/>
        <n v="31517"/>
        <n v="12717"/>
        <n v="134369"/>
        <n v="118028"/>
        <n v="145549"/>
        <n v="14833"/>
        <n v="46312"/>
        <n v="164263"/>
        <n v="117233"/>
        <n v="52446"/>
        <n v="156213"/>
        <n v="153091"/>
        <n v="91300"/>
        <n v="42792"/>
        <n v="118700"/>
        <n v="123981"/>
        <n v="125007"/>
        <n v="87803"/>
        <n v="83689"/>
        <n v="194965"/>
        <n v="125887"/>
        <n v="98340"/>
        <n v="172787"/>
        <n v="35741"/>
        <n v="117773"/>
        <n v="89865"/>
        <n v="70590"/>
        <n v="195972"/>
        <n v="120025"/>
        <n v="92151"/>
        <n v="70852"/>
        <n v="47639"/>
        <n v="131607"/>
        <n v="127238"/>
        <n v="53618"/>
        <n v="196492"/>
        <n v="50324"/>
        <n v="16733"/>
        <n v="120465"/>
        <n v="126923"/>
        <n v="105985"/>
        <n v="64413"/>
        <n v="102188"/>
        <n v="153733"/>
        <n v="182538"/>
        <n v="80962"/>
        <n v="146904"/>
        <n v="97682"/>
        <n v="122528"/>
        <n v="12165"/>
        <n v="54873"/>
        <n v="164410"/>
        <n v="51520"/>
        <n v="5598"/>
        <n v="159646"/>
        <n v="187840"/>
        <n v="47715"/>
        <n v="98131"/>
        <n v="102730"/>
        <n v="103517"/>
        <n v="90794"/>
        <n v="181532"/>
        <n v="152025"/>
        <n v="171147"/>
        <n v="11667"/>
        <n v="103542"/>
        <n v="94933"/>
        <n v="23676"/>
        <n v="16910"/>
        <n v="84932"/>
        <n v="93149"/>
        <n v="120126"/>
        <n v="33462"/>
        <n v="191022"/>
        <n v="137497"/>
        <n v="21318"/>
        <n v="192861"/>
        <n v="96715"/>
        <n v="145959"/>
        <n v="72161"/>
        <n v="5151"/>
        <n v="82376"/>
        <n v="49962"/>
        <n v="45934"/>
        <n v="75802"/>
        <n v="150423"/>
        <n v="51554"/>
        <n v="152093"/>
        <n v="158877"/>
        <n v="21511"/>
        <n v="103399"/>
        <n v="14943"/>
        <n v="129040"/>
        <n v="157589"/>
        <n v="52639"/>
        <n v="168314"/>
        <n v="89693"/>
        <n v="47593"/>
        <n v="64657"/>
        <n v="25047"/>
        <n v="155731"/>
        <n v="26161"/>
        <n v="33295"/>
        <n v="181335"/>
        <n v="151764"/>
        <n v="70891"/>
        <n v="177418"/>
        <n v="64312"/>
        <n v="103078"/>
        <n v="168252"/>
        <n v="160865"/>
        <n v="35004"/>
        <n v="48301"/>
        <n v="77857"/>
        <n v="163761"/>
        <n v="43899"/>
      </sharedItems>
    </cacheField>
    <cacheField name="Distribution_Status" numFmtId="0">
      <sharedItems/>
    </cacheField>
    <cacheField name="Processing_Days" numFmtId="0">
      <sharedItems containsSemiMixedTypes="0" containsString="0" containsNumber="1" containsInteger="1" minValue="7" maxValue="84"/>
    </cacheField>
    <cacheField name="Region" numFmtId="0">
      <sharedItems count="4">
        <s v="East Region"/>
        <s v="West Region"/>
        <s v="South Region"/>
        <s v="North Regi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DBR0001"/>
    <x v="0"/>
    <x v="0"/>
    <d v="2025-04-06T00:00:00"/>
    <d v="2025-04-11T00:00:00"/>
    <s v="Yes"/>
    <s v="Valid"/>
    <s v="No"/>
    <s v="No"/>
    <x v="0"/>
    <x v="0"/>
    <s v="Paid"/>
    <n v="10"/>
    <x v="0"/>
  </r>
  <r>
    <s v="DBR0002"/>
    <x v="0"/>
    <x v="1"/>
    <d v="2025-12-19T00:00:00"/>
    <d v="2025-12-29T00:00:00"/>
    <s v="Yes"/>
    <s v="Deficient"/>
    <s v="Yes"/>
    <s v="Yes"/>
    <x v="0"/>
    <x v="1"/>
    <s v="Pending"/>
    <n v="23"/>
    <x v="1"/>
  </r>
  <r>
    <s v="DBR0003"/>
    <x v="1"/>
    <x v="1"/>
    <d v="2025-05-17T00:00:00"/>
    <d v="2025-06-19T00:00:00"/>
    <s v="No"/>
    <s v="Rejected"/>
    <s v="No"/>
    <s v="No"/>
    <x v="1"/>
    <x v="2"/>
    <s v="Not Applicable"/>
    <n v="66"/>
    <x v="1"/>
  </r>
  <r>
    <s v="DBR0004"/>
    <x v="2"/>
    <x v="1"/>
    <d v="2025-06-26T00:00:00"/>
    <d v="2025-07-03T00:00:00"/>
    <s v="Yes"/>
    <s v="Valid"/>
    <s v="No"/>
    <s v="No"/>
    <x v="0"/>
    <x v="3"/>
    <s v="Paid"/>
    <n v="44"/>
    <x v="1"/>
  </r>
  <r>
    <s v="DBR0005"/>
    <x v="1"/>
    <x v="1"/>
    <d v="2025-11-11T00:00:00"/>
    <d v="2025-12-09T00:00:00"/>
    <s v="Yes"/>
    <s v="Deficient"/>
    <s v="Yes"/>
    <s v="Yes"/>
    <x v="0"/>
    <x v="4"/>
    <s v="Pending"/>
    <n v="51"/>
    <x v="2"/>
  </r>
  <r>
    <s v="DBR0006"/>
    <x v="0"/>
    <x v="2"/>
    <d v="2025-08-02T00:00:00"/>
    <d v="2025-08-03T00:00:00"/>
    <s v="Yes"/>
    <s v="Rejected"/>
    <s v="No"/>
    <s v="No"/>
    <x v="1"/>
    <x v="2"/>
    <s v="Not Applicable"/>
    <n v="13"/>
    <x v="0"/>
  </r>
  <r>
    <s v="DBR0007"/>
    <x v="3"/>
    <x v="3"/>
    <d v="2025-04-08T00:00:00"/>
    <d v="2025-04-16T00:00:00"/>
    <s v="Yes"/>
    <s v="Rejected"/>
    <s v="No"/>
    <s v="No"/>
    <x v="1"/>
    <x v="2"/>
    <s v="Not Applicable"/>
    <n v="17"/>
    <x v="2"/>
  </r>
  <r>
    <s v="DBR0008"/>
    <x v="4"/>
    <x v="4"/>
    <d v="2025-05-04T00:00:00"/>
    <d v="2025-05-30T00:00:00"/>
    <s v="Yes"/>
    <s v="Deficient"/>
    <s v="Yes"/>
    <s v="Yes"/>
    <x v="0"/>
    <x v="5"/>
    <s v="Paid"/>
    <n v="57"/>
    <x v="2"/>
  </r>
  <r>
    <s v="DBR0009"/>
    <x v="3"/>
    <x v="4"/>
    <d v="2025-07-07T00:00:00"/>
    <d v="2025-07-10T00:00:00"/>
    <s v="Yes"/>
    <s v="Rejected"/>
    <s v="No"/>
    <s v="No"/>
    <x v="1"/>
    <x v="2"/>
    <s v="Not Applicable"/>
    <n v="19"/>
    <x v="3"/>
  </r>
  <r>
    <s v="DBR0010"/>
    <x v="2"/>
    <x v="2"/>
    <d v="2025-03-02T00:00:00"/>
    <d v="2025-03-24T00:00:00"/>
    <s v="Yes"/>
    <s v="Rejected"/>
    <s v="No"/>
    <s v="No"/>
    <x v="1"/>
    <x v="2"/>
    <s v="Not Applicable"/>
    <n v="32"/>
    <x v="0"/>
  </r>
  <r>
    <s v="DBR0011"/>
    <x v="1"/>
    <x v="4"/>
    <d v="2025-08-12T00:00:00"/>
    <d v="2025-09-06T00:00:00"/>
    <s v="Yes"/>
    <s v="Deficient"/>
    <s v="Yes"/>
    <s v="Yes"/>
    <x v="0"/>
    <x v="6"/>
    <s v="Pending"/>
    <n v="65"/>
    <x v="2"/>
  </r>
  <r>
    <s v="DBR0012"/>
    <x v="2"/>
    <x v="2"/>
    <d v="2025-07-07T00:00:00"/>
    <d v="2025-08-13T00:00:00"/>
    <s v="No"/>
    <s v="Valid"/>
    <s v="No"/>
    <s v="No"/>
    <x v="0"/>
    <x v="7"/>
    <s v="Paid"/>
    <n v="63"/>
    <x v="3"/>
  </r>
  <r>
    <s v="DBR0013"/>
    <x v="1"/>
    <x v="0"/>
    <d v="2025-06-11T00:00:00"/>
    <d v="2025-07-15T00:00:00"/>
    <s v="No"/>
    <s v="Valid"/>
    <s v="No"/>
    <s v="No"/>
    <x v="0"/>
    <x v="8"/>
    <s v="Paid"/>
    <n v="67"/>
    <x v="0"/>
  </r>
  <r>
    <s v="DBR0014"/>
    <x v="5"/>
    <x v="2"/>
    <d v="2025-06-08T00:00:00"/>
    <d v="2025-06-13T00:00:00"/>
    <s v="Yes"/>
    <s v="Rejected"/>
    <s v="No"/>
    <s v="No"/>
    <x v="1"/>
    <x v="2"/>
    <s v="Not Applicable"/>
    <n v="15"/>
    <x v="0"/>
  </r>
  <r>
    <s v="DBR0015"/>
    <x v="1"/>
    <x v="1"/>
    <d v="2025-01-03T00:00:00"/>
    <d v="2025-01-30T00:00:00"/>
    <s v="Yes"/>
    <s v="Valid"/>
    <s v="No"/>
    <s v="No"/>
    <x v="0"/>
    <x v="9"/>
    <s v="Paid"/>
    <n v="55"/>
    <x v="1"/>
  </r>
  <r>
    <s v="DBR0016"/>
    <x v="1"/>
    <x v="2"/>
    <d v="2025-08-27T00:00:00"/>
    <d v="2025-10-09T00:00:00"/>
    <s v="No"/>
    <s v="Rejected"/>
    <s v="No"/>
    <s v="No"/>
    <x v="1"/>
    <x v="2"/>
    <s v="Not Applicable"/>
    <n v="60"/>
    <x v="2"/>
  </r>
  <r>
    <s v="DBR0017"/>
    <x v="2"/>
    <x v="0"/>
    <d v="2025-10-07T00:00:00"/>
    <d v="2025-10-09T00:00:00"/>
    <s v="Yes"/>
    <s v="Rejected"/>
    <s v="No"/>
    <s v="No"/>
    <x v="1"/>
    <x v="2"/>
    <s v="Not Applicable"/>
    <n v="35"/>
    <x v="3"/>
  </r>
  <r>
    <s v="DBR0018"/>
    <x v="1"/>
    <x v="1"/>
    <d v="2025-03-16T00:00:00"/>
    <d v="2025-04-22T00:00:00"/>
    <s v="No"/>
    <s v="Rejected"/>
    <s v="No"/>
    <s v="No"/>
    <x v="1"/>
    <x v="2"/>
    <s v="Not Applicable"/>
    <n v="52"/>
    <x v="1"/>
  </r>
  <r>
    <s v="DBR0019"/>
    <x v="2"/>
    <x v="4"/>
    <d v="2025-01-10T00:00:00"/>
    <d v="2025-01-28T00:00:00"/>
    <s v="Yes"/>
    <s v="Rejected"/>
    <s v="No"/>
    <s v="No"/>
    <x v="1"/>
    <x v="2"/>
    <s v="Not Applicable"/>
    <n v="28"/>
    <x v="3"/>
  </r>
  <r>
    <s v="DBR0020"/>
    <x v="2"/>
    <x v="2"/>
    <d v="2025-09-09T00:00:00"/>
    <d v="2025-10-24T00:00:00"/>
    <s v="No"/>
    <s v="Deficient"/>
    <s v="Yes"/>
    <s v="No"/>
    <x v="1"/>
    <x v="2"/>
    <s v="Not Applicable"/>
    <n v="83"/>
    <x v="2"/>
  </r>
  <r>
    <s v="DBR0021"/>
    <x v="1"/>
    <x v="0"/>
    <d v="2025-11-11T00:00:00"/>
    <d v="2025-11-26T00:00:00"/>
    <s v="Yes"/>
    <s v="Rejected"/>
    <s v="No"/>
    <s v="No"/>
    <x v="1"/>
    <x v="2"/>
    <s v="Not Applicable"/>
    <n v="27"/>
    <x v="2"/>
  </r>
  <r>
    <s v="DBR0022"/>
    <x v="0"/>
    <x v="1"/>
    <d v="2025-01-09T00:00:00"/>
    <d v="2025-01-21T00:00:00"/>
    <s v="Yes"/>
    <s v="Deficient"/>
    <s v="Yes"/>
    <s v="Yes"/>
    <x v="0"/>
    <x v="10"/>
    <s v="Paid"/>
    <n v="50"/>
    <x v="2"/>
  </r>
  <r>
    <s v="DBR0023"/>
    <x v="0"/>
    <x v="1"/>
    <d v="2025-11-01T00:00:00"/>
    <d v="2025-12-14T00:00:00"/>
    <s v="No"/>
    <s v="Deficient"/>
    <s v="Yes"/>
    <s v="Yes"/>
    <x v="0"/>
    <x v="11"/>
    <s v="Paid"/>
    <n v="50"/>
    <x v="3"/>
  </r>
  <r>
    <s v="DBR0024"/>
    <x v="4"/>
    <x v="0"/>
    <d v="2025-05-14T00:00:00"/>
    <d v="2025-05-19T00:00:00"/>
    <s v="Yes"/>
    <s v="Deficient"/>
    <s v="Yes"/>
    <s v="Yes"/>
    <x v="0"/>
    <x v="12"/>
    <s v="Pending"/>
    <n v="37"/>
    <x v="2"/>
  </r>
  <r>
    <s v="DBR0025"/>
    <x v="3"/>
    <x v="2"/>
    <d v="2025-06-23T00:00:00"/>
    <d v="2025-07-19T00:00:00"/>
    <s v="Yes"/>
    <s v="Rejected"/>
    <s v="No"/>
    <s v="No"/>
    <x v="1"/>
    <x v="2"/>
    <s v="Not Applicable"/>
    <n v="33"/>
    <x v="3"/>
  </r>
  <r>
    <s v="DBR0026"/>
    <x v="1"/>
    <x v="2"/>
    <d v="2025-11-17T00:00:00"/>
    <d v="2025-12-07T00:00:00"/>
    <s v="Yes"/>
    <s v="Rejected"/>
    <s v="No"/>
    <s v="No"/>
    <x v="1"/>
    <x v="2"/>
    <s v="Not Applicable"/>
    <n v="30"/>
    <x v="1"/>
  </r>
  <r>
    <s v="DBR0027"/>
    <x v="2"/>
    <x v="2"/>
    <d v="2025-10-20T00:00:00"/>
    <d v="2025-11-19T00:00:00"/>
    <s v="Yes"/>
    <s v="Rejected"/>
    <s v="No"/>
    <s v="No"/>
    <x v="1"/>
    <x v="2"/>
    <s v="Not Applicable"/>
    <n v="62"/>
    <x v="3"/>
  </r>
  <r>
    <s v="DBR0028"/>
    <x v="3"/>
    <x v="2"/>
    <d v="2025-03-10T00:00:00"/>
    <d v="2025-03-22T00:00:00"/>
    <s v="Yes"/>
    <s v="Deficient"/>
    <s v="Yes"/>
    <s v="No"/>
    <x v="1"/>
    <x v="2"/>
    <s v="Not Applicable"/>
    <n v="19"/>
    <x v="2"/>
  </r>
  <r>
    <s v="DBR0029"/>
    <x v="3"/>
    <x v="2"/>
    <d v="2025-02-10T00:00:00"/>
    <d v="2025-03-13T00:00:00"/>
    <s v="No"/>
    <s v="Valid"/>
    <s v="No"/>
    <s v="No"/>
    <x v="0"/>
    <x v="13"/>
    <s v="Paid"/>
    <n v="59"/>
    <x v="2"/>
  </r>
  <r>
    <s v="DBR0030"/>
    <x v="2"/>
    <x v="3"/>
    <d v="2025-09-27T00:00:00"/>
    <d v="2025-10-17T00:00:00"/>
    <s v="Yes"/>
    <s v="Valid"/>
    <s v="No"/>
    <s v="No"/>
    <x v="0"/>
    <x v="14"/>
    <s v="Paid"/>
    <n v="33"/>
    <x v="3"/>
  </r>
  <r>
    <s v="DBR0031"/>
    <x v="4"/>
    <x v="3"/>
    <d v="2025-11-19T00:00:00"/>
    <d v="2025-12-14T00:00:00"/>
    <s v="Yes"/>
    <s v="Deficient"/>
    <s v="Yes"/>
    <s v="Yes"/>
    <x v="0"/>
    <x v="15"/>
    <s v="Paid"/>
    <n v="40"/>
    <x v="0"/>
  </r>
  <r>
    <s v="DBR0032"/>
    <x v="3"/>
    <x v="0"/>
    <d v="2025-05-10T00:00:00"/>
    <d v="2025-06-20T00:00:00"/>
    <s v="No"/>
    <s v="Deficient"/>
    <s v="Yes"/>
    <s v="Yes"/>
    <x v="0"/>
    <x v="16"/>
    <s v="Paid"/>
    <n v="70"/>
    <x v="0"/>
  </r>
  <r>
    <s v="DBR0033"/>
    <x v="3"/>
    <x v="1"/>
    <d v="2025-02-07T00:00:00"/>
    <d v="2025-02-15T00:00:00"/>
    <s v="Yes"/>
    <s v="Deficient"/>
    <s v="Yes"/>
    <s v="No"/>
    <x v="1"/>
    <x v="2"/>
    <s v="Not Applicable"/>
    <n v="21"/>
    <x v="0"/>
  </r>
  <r>
    <s v="DBR0034"/>
    <x v="3"/>
    <x v="3"/>
    <d v="2025-07-08T00:00:00"/>
    <d v="2025-07-20T00:00:00"/>
    <s v="Yes"/>
    <s v="Valid"/>
    <s v="No"/>
    <s v="No"/>
    <x v="0"/>
    <x v="17"/>
    <s v="Pending"/>
    <n v="41"/>
    <x v="0"/>
  </r>
  <r>
    <s v="DBR0035"/>
    <x v="0"/>
    <x v="0"/>
    <d v="2025-02-08T00:00:00"/>
    <d v="2025-02-26T00:00:00"/>
    <s v="Yes"/>
    <s v="Rejected"/>
    <s v="No"/>
    <s v="No"/>
    <x v="1"/>
    <x v="2"/>
    <s v="Not Applicable"/>
    <n v="36"/>
    <x v="2"/>
  </r>
  <r>
    <s v="DBR0036"/>
    <x v="4"/>
    <x v="3"/>
    <d v="2025-02-08T00:00:00"/>
    <d v="2025-02-21T00:00:00"/>
    <s v="Yes"/>
    <s v="Valid"/>
    <s v="No"/>
    <s v="No"/>
    <x v="0"/>
    <x v="18"/>
    <s v="Paid"/>
    <n v="37"/>
    <x v="1"/>
  </r>
  <r>
    <s v="DBR0037"/>
    <x v="3"/>
    <x v="4"/>
    <d v="2025-11-09T00:00:00"/>
    <d v="2025-11-26T00:00:00"/>
    <s v="Yes"/>
    <s v="Deficient"/>
    <s v="Yes"/>
    <s v="Yes"/>
    <x v="0"/>
    <x v="19"/>
    <s v="Paid"/>
    <n v="41"/>
    <x v="2"/>
  </r>
  <r>
    <s v="DBR0038"/>
    <x v="0"/>
    <x v="2"/>
    <d v="2025-05-20T00:00:00"/>
    <d v="2025-06-20T00:00:00"/>
    <s v="No"/>
    <s v="Rejected"/>
    <s v="No"/>
    <s v="No"/>
    <x v="1"/>
    <x v="2"/>
    <s v="Not Applicable"/>
    <n v="63"/>
    <x v="3"/>
  </r>
  <r>
    <s v="DBR0039"/>
    <x v="2"/>
    <x v="4"/>
    <d v="2025-06-04T00:00:00"/>
    <d v="2025-06-07T00:00:00"/>
    <s v="Yes"/>
    <s v="Rejected"/>
    <s v="No"/>
    <s v="No"/>
    <x v="1"/>
    <x v="2"/>
    <s v="Not Applicable"/>
    <n v="20"/>
    <x v="2"/>
  </r>
  <r>
    <s v="DBR0040"/>
    <x v="4"/>
    <x v="2"/>
    <d v="2025-12-19T00:00:00"/>
    <d v="2026-01-13T00:00:00"/>
    <s v="Yes"/>
    <s v="Valid"/>
    <s v="No"/>
    <s v="No"/>
    <x v="0"/>
    <x v="20"/>
    <s v="Paid"/>
    <n v="53"/>
    <x v="0"/>
  </r>
  <r>
    <s v="DBR0041"/>
    <x v="1"/>
    <x v="4"/>
    <d v="2025-02-12T00:00:00"/>
    <d v="2025-03-28T00:00:00"/>
    <s v="No"/>
    <s v="Valid"/>
    <s v="No"/>
    <s v="No"/>
    <x v="0"/>
    <x v="21"/>
    <s v="Paid"/>
    <n v="55"/>
    <x v="3"/>
  </r>
  <r>
    <s v="DBR0042"/>
    <x v="5"/>
    <x v="3"/>
    <d v="2025-03-12T00:00:00"/>
    <d v="2025-04-08T00:00:00"/>
    <s v="Yes"/>
    <s v="Valid"/>
    <s v="No"/>
    <s v="No"/>
    <x v="0"/>
    <x v="22"/>
    <s v="Paid"/>
    <n v="63"/>
    <x v="3"/>
  </r>
  <r>
    <s v="DBR0043"/>
    <x v="0"/>
    <x v="4"/>
    <d v="2025-12-08T00:00:00"/>
    <d v="2025-12-20T00:00:00"/>
    <s v="Yes"/>
    <s v="Valid"/>
    <s v="No"/>
    <s v="No"/>
    <x v="0"/>
    <x v="23"/>
    <s v="Paid"/>
    <n v="36"/>
    <x v="3"/>
  </r>
  <r>
    <s v="DBR0044"/>
    <x v="1"/>
    <x v="0"/>
    <d v="2025-08-24T00:00:00"/>
    <d v="2025-08-31T00:00:00"/>
    <s v="Yes"/>
    <s v="Rejected"/>
    <s v="No"/>
    <s v="No"/>
    <x v="1"/>
    <x v="2"/>
    <s v="Not Applicable"/>
    <n v="24"/>
    <x v="1"/>
  </r>
  <r>
    <s v="DBR0045"/>
    <x v="1"/>
    <x v="0"/>
    <d v="2025-04-05T00:00:00"/>
    <d v="2025-05-18T00:00:00"/>
    <s v="No"/>
    <s v="Rejected"/>
    <s v="No"/>
    <s v="No"/>
    <x v="1"/>
    <x v="2"/>
    <s v="Not Applicable"/>
    <n v="77"/>
    <x v="1"/>
  </r>
  <r>
    <s v="DBR0046"/>
    <x v="5"/>
    <x v="1"/>
    <d v="2025-02-20T00:00:00"/>
    <d v="2025-03-29T00:00:00"/>
    <s v="No"/>
    <s v="Deficient"/>
    <s v="Yes"/>
    <s v="Yes"/>
    <x v="0"/>
    <x v="24"/>
    <s v="Paid"/>
    <n v="61"/>
    <x v="2"/>
  </r>
  <r>
    <s v="DBR0047"/>
    <x v="1"/>
    <x v="3"/>
    <d v="2025-03-02T00:00:00"/>
    <d v="2025-04-02T00:00:00"/>
    <s v="No"/>
    <s v="Rejected"/>
    <s v="No"/>
    <s v="No"/>
    <x v="1"/>
    <x v="2"/>
    <s v="Not Applicable"/>
    <n v="42"/>
    <x v="0"/>
  </r>
  <r>
    <s v="DBR0048"/>
    <x v="5"/>
    <x v="2"/>
    <d v="2025-08-22T00:00:00"/>
    <d v="2025-09-07T00:00:00"/>
    <s v="Yes"/>
    <s v="Deficient"/>
    <s v="Yes"/>
    <s v="Yes"/>
    <x v="0"/>
    <x v="25"/>
    <s v="Paid"/>
    <n v="55"/>
    <x v="3"/>
  </r>
  <r>
    <s v="DBR0049"/>
    <x v="2"/>
    <x v="3"/>
    <d v="2025-04-09T00:00:00"/>
    <d v="2025-04-25T00:00:00"/>
    <s v="Yes"/>
    <s v="Valid"/>
    <s v="No"/>
    <s v="No"/>
    <x v="0"/>
    <x v="26"/>
    <s v="Pending"/>
    <n v="47"/>
    <x v="1"/>
  </r>
  <r>
    <s v="DBR0050"/>
    <x v="3"/>
    <x v="2"/>
    <d v="2025-08-24T00:00:00"/>
    <d v="2025-10-02T00:00:00"/>
    <s v="No"/>
    <s v="Deficient"/>
    <s v="Yes"/>
    <s v="Yes"/>
    <x v="0"/>
    <x v="27"/>
    <s v="Paid"/>
    <n v="74"/>
    <x v="0"/>
  </r>
  <r>
    <s v="DBR0051"/>
    <x v="2"/>
    <x v="1"/>
    <d v="2025-11-04T00:00:00"/>
    <d v="2025-12-18T00:00:00"/>
    <s v="No"/>
    <s v="Valid"/>
    <s v="No"/>
    <s v="No"/>
    <x v="0"/>
    <x v="28"/>
    <s v="Paid"/>
    <n v="82"/>
    <x v="2"/>
  </r>
  <r>
    <s v="DBR0052"/>
    <x v="1"/>
    <x v="2"/>
    <d v="2025-04-07T00:00:00"/>
    <d v="2025-05-16T00:00:00"/>
    <s v="No"/>
    <s v="Valid"/>
    <s v="No"/>
    <s v="No"/>
    <x v="0"/>
    <x v="29"/>
    <s v="Paid"/>
    <n v="57"/>
    <x v="2"/>
  </r>
  <r>
    <s v="DBR0053"/>
    <x v="0"/>
    <x v="3"/>
    <d v="2025-11-11T00:00:00"/>
    <d v="2025-11-25T00:00:00"/>
    <s v="Yes"/>
    <s v="Deficient"/>
    <s v="Yes"/>
    <s v="Yes"/>
    <x v="0"/>
    <x v="30"/>
    <s v="Paid"/>
    <n v="50"/>
    <x v="3"/>
  </r>
  <r>
    <s v="DBR0054"/>
    <x v="2"/>
    <x v="4"/>
    <d v="2025-02-02T00:00:00"/>
    <d v="2025-02-10T00:00:00"/>
    <s v="Yes"/>
    <s v="Valid"/>
    <s v="No"/>
    <s v="No"/>
    <x v="0"/>
    <x v="31"/>
    <s v="Paid"/>
    <n v="20"/>
    <x v="1"/>
  </r>
  <r>
    <s v="DBR0055"/>
    <x v="2"/>
    <x v="0"/>
    <d v="2025-03-03T00:00:00"/>
    <d v="2025-03-30T00:00:00"/>
    <s v="Yes"/>
    <s v="Deficient"/>
    <s v="Yes"/>
    <s v="No"/>
    <x v="1"/>
    <x v="2"/>
    <s v="Not Applicable"/>
    <n v="66"/>
    <x v="2"/>
  </r>
  <r>
    <s v="DBR0056"/>
    <x v="1"/>
    <x v="3"/>
    <d v="2025-02-14T00:00:00"/>
    <d v="2025-03-15T00:00:00"/>
    <s v="Yes"/>
    <s v="Deficient"/>
    <s v="Yes"/>
    <s v="Yes"/>
    <x v="0"/>
    <x v="32"/>
    <s v="Pending"/>
    <n v="37"/>
    <x v="0"/>
  </r>
  <r>
    <s v="DBR0057"/>
    <x v="1"/>
    <x v="1"/>
    <d v="2025-10-05T00:00:00"/>
    <d v="2025-11-03T00:00:00"/>
    <s v="Yes"/>
    <s v="Deficient"/>
    <s v="Yes"/>
    <s v="Yes"/>
    <x v="0"/>
    <x v="33"/>
    <s v="Paid"/>
    <n v="47"/>
    <x v="3"/>
  </r>
  <r>
    <s v="DBR0058"/>
    <x v="5"/>
    <x v="1"/>
    <d v="2025-07-02T00:00:00"/>
    <d v="2025-07-31T00:00:00"/>
    <s v="Yes"/>
    <s v="Deficient"/>
    <s v="Yes"/>
    <s v="Yes"/>
    <x v="0"/>
    <x v="34"/>
    <s v="Paid"/>
    <n v="53"/>
    <x v="2"/>
  </r>
  <r>
    <s v="DBR0059"/>
    <x v="4"/>
    <x v="1"/>
    <d v="2025-02-17T00:00:00"/>
    <d v="2025-02-24T00:00:00"/>
    <s v="Yes"/>
    <s v="Deficient"/>
    <s v="Yes"/>
    <s v="Yes"/>
    <x v="0"/>
    <x v="35"/>
    <s v="Paid"/>
    <n v="34"/>
    <x v="0"/>
  </r>
  <r>
    <s v="DBR0060"/>
    <x v="4"/>
    <x v="4"/>
    <d v="2025-11-18T00:00:00"/>
    <d v="2025-11-19T00:00:00"/>
    <s v="Yes"/>
    <s v="Deficient"/>
    <s v="Yes"/>
    <s v="No"/>
    <x v="1"/>
    <x v="2"/>
    <s v="Not Applicable"/>
    <n v="33"/>
    <x v="1"/>
  </r>
  <r>
    <s v="DBR0061"/>
    <x v="3"/>
    <x v="1"/>
    <d v="2025-04-02T00:00:00"/>
    <d v="2025-05-14T00:00:00"/>
    <s v="No"/>
    <s v="Rejected"/>
    <s v="No"/>
    <s v="No"/>
    <x v="1"/>
    <x v="2"/>
    <s v="Not Applicable"/>
    <n v="71"/>
    <x v="0"/>
  </r>
  <r>
    <s v="DBR0062"/>
    <x v="4"/>
    <x v="0"/>
    <d v="2025-08-01T00:00:00"/>
    <d v="2025-08-09T00:00:00"/>
    <s v="Yes"/>
    <s v="Deficient"/>
    <s v="Yes"/>
    <s v="No"/>
    <x v="1"/>
    <x v="2"/>
    <s v="Not Applicable"/>
    <n v="42"/>
    <x v="2"/>
  </r>
  <r>
    <s v="DBR0063"/>
    <x v="0"/>
    <x v="2"/>
    <d v="2025-03-28T00:00:00"/>
    <d v="2025-04-05T00:00:00"/>
    <s v="Yes"/>
    <s v="Deficient"/>
    <s v="Yes"/>
    <s v="Yes"/>
    <x v="0"/>
    <x v="36"/>
    <s v="Paid"/>
    <n v="26"/>
    <x v="1"/>
  </r>
  <r>
    <s v="DBR0064"/>
    <x v="2"/>
    <x v="0"/>
    <d v="2025-06-04T00:00:00"/>
    <d v="2025-06-22T00:00:00"/>
    <s v="Yes"/>
    <s v="Rejected"/>
    <s v="No"/>
    <s v="No"/>
    <x v="1"/>
    <x v="2"/>
    <s v="Not Applicable"/>
    <n v="58"/>
    <x v="2"/>
  </r>
  <r>
    <s v="DBR0065"/>
    <x v="0"/>
    <x v="4"/>
    <d v="2025-04-22T00:00:00"/>
    <d v="2025-04-28T00:00:00"/>
    <s v="Yes"/>
    <s v="Deficient"/>
    <s v="Yes"/>
    <s v="No"/>
    <x v="1"/>
    <x v="2"/>
    <s v="Not Applicable"/>
    <n v="23"/>
    <x v="3"/>
  </r>
  <r>
    <s v="DBR0066"/>
    <x v="5"/>
    <x v="4"/>
    <d v="2025-04-06T00:00:00"/>
    <d v="2025-05-17T00:00:00"/>
    <s v="No"/>
    <s v="Deficient"/>
    <s v="Yes"/>
    <s v="Yes"/>
    <x v="0"/>
    <x v="37"/>
    <s v="Paid"/>
    <n v="69"/>
    <x v="0"/>
  </r>
  <r>
    <s v="DBR0067"/>
    <x v="4"/>
    <x v="1"/>
    <d v="2025-09-05T00:00:00"/>
    <d v="2025-10-04T00:00:00"/>
    <s v="Yes"/>
    <s v="Deficient"/>
    <s v="Yes"/>
    <s v="Yes"/>
    <x v="0"/>
    <x v="38"/>
    <s v="Paid"/>
    <n v="36"/>
    <x v="1"/>
  </r>
  <r>
    <s v="DBR0068"/>
    <x v="5"/>
    <x v="4"/>
    <d v="2025-03-28T00:00:00"/>
    <d v="2025-04-15T00:00:00"/>
    <s v="Yes"/>
    <s v="Rejected"/>
    <s v="No"/>
    <s v="No"/>
    <x v="1"/>
    <x v="2"/>
    <s v="Not Applicable"/>
    <n v="40"/>
    <x v="1"/>
  </r>
  <r>
    <s v="DBR0069"/>
    <x v="1"/>
    <x v="1"/>
    <d v="2025-07-02T00:00:00"/>
    <d v="2025-07-11T00:00:00"/>
    <s v="Yes"/>
    <s v="Rejected"/>
    <s v="No"/>
    <s v="No"/>
    <x v="1"/>
    <x v="2"/>
    <s v="Not Applicable"/>
    <n v="17"/>
    <x v="2"/>
  </r>
  <r>
    <s v="DBR0070"/>
    <x v="1"/>
    <x v="4"/>
    <d v="2025-08-05T00:00:00"/>
    <d v="2025-08-15T00:00:00"/>
    <s v="Yes"/>
    <s v="Rejected"/>
    <s v="No"/>
    <s v="No"/>
    <x v="1"/>
    <x v="2"/>
    <s v="Not Applicable"/>
    <n v="49"/>
    <x v="3"/>
  </r>
  <r>
    <s v="DBR0071"/>
    <x v="4"/>
    <x v="2"/>
    <d v="2025-06-07T00:00:00"/>
    <d v="2025-06-11T00:00:00"/>
    <s v="Yes"/>
    <s v="Rejected"/>
    <s v="No"/>
    <s v="No"/>
    <x v="1"/>
    <x v="2"/>
    <s v="Not Applicable"/>
    <n v="34"/>
    <x v="2"/>
  </r>
  <r>
    <s v="DBR0072"/>
    <x v="5"/>
    <x v="3"/>
    <d v="2025-10-05T00:00:00"/>
    <d v="2025-11-08T00:00:00"/>
    <s v="No"/>
    <s v="Deficient"/>
    <s v="Yes"/>
    <s v="No"/>
    <x v="1"/>
    <x v="2"/>
    <s v="Not Applicable"/>
    <n v="62"/>
    <x v="2"/>
  </r>
  <r>
    <s v="DBR0073"/>
    <x v="5"/>
    <x v="3"/>
    <d v="2025-10-19T00:00:00"/>
    <d v="2025-11-13T00:00:00"/>
    <s v="Yes"/>
    <s v="Deficient"/>
    <s v="Yes"/>
    <s v="Yes"/>
    <x v="0"/>
    <x v="39"/>
    <s v="Pending"/>
    <n v="60"/>
    <x v="0"/>
  </r>
  <r>
    <s v="DBR0074"/>
    <x v="3"/>
    <x v="2"/>
    <d v="2025-02-04T00:00:00"/>
    <d v="2025-03-12T00:00:00"/>
    <s v="No"/>
    <s v="Deficient"/>
    <s v="Yes"/>
    <s v="No"/>
    <x v="1"/>
    <x v="2"/>
    <s v="Not Applicable"/>
    <n v="73"/>
    <x v="2"/>
  </r>
  <r>
    <s v="DBR0075"/>
    <x v="0"/>
    <x v="1"/>
    <d v="2025-06-27T00:00:00"/>
    <d v="2025-06-29T00:00:00"/>
    <s v="Yes"/>
    <s v="Valid"/>
    <s v="No"/>
    <s v="No"/>
    <x v="0"/>
    <x v="40"/>
    <s v="Paid"/>
    <n v="35"/>
    <x v="3"/>
  </r>
  <r>
    <s v="DBR0076"/>
    <x v="0"/>
    <x v="4"/>
    <d v="2025-06-14T00:00:00"/>
    <d v="2025-07-13T00:00:00"/>
    <s v="Yes"/>
    <s v="Valid"/>
    <s v="No"/>
    <s v="No"/>
    <x v="0"/>
    <x v="41"/>
    <s v="Paid"/>
    <n v="69"/>
    <x v="1"/>
  </r>
  <r>
    <s v="DBR0077"/>
    <x v="5"/>
    <x v="2"/>
    <d v="2025-03-04T00:00:00"/>
    <d v="2025-04-09T00:00:00"/>
    <s v="No"/>
    <s v="Deficient"/>
    <s v="Yes"/>
    <s v="Yes"/>
    <x v="0"/>
    <x v="42"/>
    <s v="Paid"/>
    <n v="48"/>
    <x v="0"/>
  </r>
  <r>
    <s v="DBR0078"/>
    <x v="3"/>
    <x v="3"/>
    <d v="2025-08-20T00:00:00"/>
    <d v="2025-09-11T00:00:00"/>
    <s v="Yes"/>
    <s v="Valid"/>
    <s v="No"/>
    <s v="No"/>
    <x v="0"/>
    <x v="43"/>
    <s v="Paid"/>
    <n v="33"/>
    <x v="0"/>
  </r>
  <r>
    <s v="DBR0079"/>
    <x v="3"/>
    <x v="1"/>
    <d v="2025-12-11T00:00:00"/>
    <d v="2026-01-01T00:00:00"/>
    <s v="Yes"/>
    <s v="Deficient"/>
    <s v="Yes"/>
    <s v="Yes"/>
    <x v="0"/>
    <x v="44"/>
    <s v="Paid"/>
    <n v="44"/>
    <x v="1"/>
  </r>
  <r>
    <s v="DBR0080"/>
    <x v="4"/>
    <x v="3"/>
    <d v="2025-11-03T00:00:00"/>
    <d v="2025-11-12T00:00:00"/>
    <s v="Yes"/>
    <s v="Deficient"/>
    <s v="Yes"/>
    <s v="Yes"/>
    <x v="0"/>
    <x v="45"/>
    <s v="Pending"/>
    <n v="25"/>
    <x v="1"/>
  </r>
  <r>
    <s v="DBR0081"/>
    <x v="5"/>
    <x v="1"/>
    <d v="2025-11-23T00:00:00"/>
    <d v="2025-12-15T00:00:00"/>
    <s v="Yes"/>
    <s v="Valid"/>
    <s v="No"/>
    <s v="No"/>
    <x v="0"/>
    <x v="46"/>
    <s v="Paid"/>
    <n v="27"/>
    <x v="0"/>
  </r>
  <r>
    <s v="DBR0082"/>
    <x v="3"/>
    <x v="2"/>
    <d v="2025-10-19T00:00:00"/>
    <d v="2025-10-28T00:00:00"/>
    <s v="Yes"/>
    <s v="Valid"/>
    <s v="No"/>
    <s v="No"/>
    <x v="0"/>
    <x v="47"/>
    <s v="Pending"/>
    <n v="16"/>
    <x v="1"/>
  </r>
  <r>
    <s v="DBR0083"/>
    <x v="4"/>
    <x v="3"/>
    <d v="2025-12-26T00:00:00"/>
    <d v="2026-01-27T00:00:00"/>
    <s v="No"/>
    <s v="Valid"/>
    <s v="No"/>
    <s v="No"/>
    <x v="0"/>
    <x v="48"/>
    <s v="Paid"/>
    <n v="59"/>
    <x v="0"/>
  </r>
  <r>
    <s v="DBR0084"/>
    <x v="4"/>
    <x v="3"/>
    <d v="2025-12-13T00:00:00"/>
    <d v="2026-01-25T00:00:00"/>
    <s v="No"/>
    <s v="Deficient"/>
    <s v="Yes"/>
    <s v="Yes"/>
    <x v="0"/>
    <x v="49"/>
    <s v="Paid"/>
    <n v="55"/>
    <x v="1"/>
  </r>
  <r>
    <s v="DBR0085"/>
    <x v="5"/>
    <x v="2"/>
    <d v="2025-09-05T00:00:00"/>
    <d v="2025-09-21T00:00:00"/>
    <s v="Yes"/>
    <s v="Valid"/>
    <s v="No"/>
    <s v="No"/>
    <x v="0"/>
    <x v="50"/>
    <s v="Paid"/>
    <n v="33"/>
    <x v="1"/>
  </r>
  <r>
    <s v="DBR0086"/>
    <x v="0"/>
    <x v="4"/>
    <d v="2025-02-26T00:00:00"/>
    <d v="2025-03-19T00:00:00"/>
    <s v="Yes"/>
    <s v="Valid"/>
    <s v="No"/>
    <s v="No"/>
    <x v="0"/>
    <x v="51"/>
    <s v="Paid"/>
    <n v="44"/>
    <x v="0"/>
  </r>
  <r>
    <s v="DBR0087"/>
    <x v="4"/>
    <x v="4"/>
    <d v="2025-07-05T00:00:00"/>
    <d v="2025-07-13T00:00:00"/>
    <s v="Yes"/>
    <s v="Rejected"/>
    <s v="No"/>
    <s v="No"/>
    <x v="1"/>
    <x v="2"/>
    <s v="Not Applicable"/>
    <n v="31"/>
    <x v="3"/>
  </r>
  <r>
    <s v="DBR0088"/>
    <x v="4"/>
    <x v="0"/>
    <d v="2025-02-14T00:00:00"/>
    <d v="2025-03-29T00:00:00"/>
    <s v="No"/>
    <s v="Rejected"/>
    <s v="No"/>
    <s v="No"/>
    <x v="1"/>
    <x v="2"/>
    <s v="Not Applicable"/>
    <n v="48"/>
    <x v="0"/>
  </r>
  <r>
    <s v="DBR0089"/>
    <x v="3"/>
    <x v="4"/>
    <d v="2025-04-25T00:00:00"/>
    <d v="2025-05-08T00:00:00"/>
    <s v="Yes"/>
    <s v="Valid"/>
    <s v="No"/>
    <s v="No"/>
    <x v="0"/>
    <x v="52"/>
    <s v="Paid"/>
    <n v="43"/>
    <x v="1"/>
  </r>
  <r>
    <s v="DBR0090"/>
    <x v="2"/>
    <x v="1"/>
    <d v="2025-04-14T00:00:00"/>
    <d v="2025-05-20T00:00:00"/>
    <s v="No"/>
    <s v="Valid"/>
    <s v="No"/>
    <s v="No"/>
    <x v="0"/>
    <x v="53"/>
    <s v="Paid"/>
    <n v="59"/>
    <x v="3"/>
  </r>
  <r>
    <s v="DBR0091"/>
    <x v="2"/>
    <x v="2"/>
    <d v="2025-03-25T00:00:00"/>
    <d v="2025-03-31T00:00:00"/>
    <s v="Yes"/>
    <s v="Rejected"/>
    <s v="No"/>
    <s v="No"/>
    <x v="1"/>
    <x v="2"/>
    <s v="Not Applicable"/>
    <n v="35"/>
    <x v="1"/>
  </r>
  <r>
    <s v="DBR0092"/>
    <x v="2"/>
    <x v="3"/>
    <d v="2025-08-05T00:00:00"/>
    <d v="2025-08-20T00:00:00"/>
    <s v="Yes"/>
    <s v="Valid"/>
    <s v="No"/>
    <s v="No"/>
    <x v="0"/>
    <x v="54"/>
    <s v="Paid"/>
    <n v="35"/>
    <x v="1"/>
  </r>
  <r>
    <s v="DBR0093"/>
    <x v="4"/>
    <x v="4"/>
    <d v="2025-05-20T00:00:00"/>
    <d v="2025-05-27T00:00:00"/>
    <s v="Yes"/>
    <s v="Deficient"/>
    <s v="Yes"/>
    <s v="No"/>
    <x v="1"/>
    <x v="2"/>
    <s v="Not Applicable"/>
    <n v="23"/>
    <x v="1"/>
  </r>
  <r>
    <s v="DBR0094"/>
    <x v="5"/>
    <x v="3"/>
    <d v="2025-04-19T00:00:00"/>
    <d v="2025-05-11T00:00:00"/>
    <s v="Yes"/>
    <s v="Valid"/>
    <s v="No"/>
    <s v="No"/>
    <x v="0"/>
    <x v="55"/>
    <s v="Paid"/>
    <n v="33"/>
    <x v="1"/>
  </r>
  <r>
    <s v="DBR0095"/>
    <x v="1"/>
    <x v="0"/>
    <d v="2025-12-22T00:00:00"/>
    <d v="2026-01-21T00:00:00"/>
    <s v="Yes"/>
    <s v="Rejected"/>
    <s v="No"/>
    <s v="No"/>
    <x v="1"/>
    <x v="2"/>
    <s v="Not Applicable"/>
    <n v="49"/>
    <x v="1"/>
  </r>
  <r>
    <s v="DBR0096"/>
    <x v="2"/>
    <x v="1"/>
    <d v="2025-10-11T00:00:00"/>
    <d v="2025-11-24T00:00:00"/>
    <s v="No"/>
    <s v="Rejected"/>
    <s v="No"/>
    <s v="No"/>
    <x v="1"/>
    <x v="2"/>
    <s v="Not Applicable"/>
    <n v="62"/>
    <x v="0"/>
  </r>
  <r>
    <s v="DBR0097"/>
    <x v="0"/>
    <x v="2"/>
    <d v="2025-09-08T00:00:00"/>
    <d v="2025-10-05T00:00:00"/>
    <s v="Yes"/>
    <s v="Valid"/>
    <s v="No"/>
    <s v="No"/>
    <x v="0"/>
    <x v="56"/>
    <s v="Paid"/>
    <n v="57"/>
    <x v="3"/>
  </r>
  <r>
    <s v="DBR0098"/>
    <x v="0"/>
    <x v="0"/>
    <d v="2025-06-17T00:00:00"/>
    <d v="2025-06-26T00:00:00"/>
    <s v="Yes"/>
    <s v="Rejected"/>
    <s v="No"/>
    <s v="No"/>
    <x v="1"/>
    <x v="2"/>
    <s v="Not Applicable"/>
    <n v="34"/>
    <x v="2"/>
  </r>
  <r>
    <s v="DBR0099"/>
    <x v="0"/>
    <x v="0"/>
    <d v="2025-04-28T00:00:00"/>
    <d v="2025-05-22T00:00:00"/>
    <s v="Yes"/>
    <s v="Rejected"/>
    <s v="No"/>
    <s v="No"/>
    <x v="1"/>
    <x v="2"/>
    <s v="Not Applicable"/>
    <n v="49"/>
    <x v="1"/>
  </r>
  <r>
    <s v="DBR0100"/>
    <x v="0"/>
    <x v="3"/>
    <d v="2025-08-19T00:00:00"/>
    <d v="2025-08-20T00:00:00"/>
    <s v="Yes"/>
    <s v="Deficient"/>
    <s v="Yes"/>
    <s v="Yes"/>
    <x v="0"/>
    <x v="57"/>
    <s v="Paid"/>
    <n v="21"/>
    <x v="1"/>
  </r>
  <r>
    <s v="DBR0101"/>
    <x v="5"/>
    <x v="0"/>
    <d v="2025-04-26T00:00:00"/>
    <d v="2025-05-06T00:00:00"/>
    <s v="Yes"/>
    <s v="Valid"/>
    <s v="No"/>
    <s v="No"/>
    <x v="0"/>
    <x v="58"/>
    <s v="Pending"/>
    <n v="21"/>
    <x v="0"/>
  </r>
  <r>
    <s v="DBR0102"/>
    <x v="1"/>
    <x v="1"/>
    <d v="2025-08-05T00:00:00"/>
    <d v="2025-08-19T00:00:00"/>
    <s v="Yes"/>
    <s v="Deficient"/>
    <s v="Yes"/>
    <s v="Yes"/>
    <x v="0"/>
    <x v="59"/>
    <s v="Paid"/>
    <n v="51"/>
    <x v="1"/>
  </r>
  <r>
    <s v="DBR0103"/>
    <x v="3"/>
    <x v="3"/>
    <d v="2025-02-22T00:00:00"/>
    <d v="2025-04-07T00:00:00"/>
    <s v="No"/>
    <s v="Valid"/>
    <s v="No"/>
    <s v="No"/>
    <x v="0"/>
    <x v="60"/>
    <s v="Paid"/>
    <n v="49"/>
    <x v="1"/>
  </r>
  <r>
    <s v="DBR0104"/>
    <x v="0"/>
    <x v="4"/>
    <d v="2025-05-21T00:00:00"/>
    <d v="2025-05-31T00:00:00"/>
    <s v="Yes"/>
    <s v="Valid"/>
    <s v="No"/>
    <s v="No"/>
    <x v="0"/>
    <x v="61"/>
    <s v="Paid"/>
    <n v="39"/>
    <x v="0"/>
  </r>
  <r>
    <s v="DBR0105"/>
    <x v="5"/>
    <x v="1"/>
    <d v="2025-01-15T00:00:00"/>
    <d v="2025-02-09T00:00:00"/>
    <s v="Yes"/>
    <s v="Rejected"/>
    <s v="No"/>
    <s v="No"/>
    <x v="1"/>
    <x v="2"/>
    <s v="Not Applicable"/>
    <n v="63"/>
    <x v="3"/>
  </r>
  <r>
    <s v="DBR0106"/>
    <x v="3"/>
    <x v="0"/>
    <d v="2025-09-21T00:00:00"/>
    <d v="2025-09-24T00:00:00"/>
    <s v="Yes"/>
    <s v="Deficient"/>
    <s v="Yes"/>
    <s v="Yes"/>
    <x v="0"/>
    <x v="62"/>
    <s v="Paid"/>
    <n v="19"/>
    <x v="0"/>
  </r>
  <r>
    <s v="DBR0107"/>
    <x v="0"/>
    <x v="2"/>
    <d v="2025-09-13T00:00:00"/>
    <d v="2025-10-07T00:00:00"/>
    <s v="Yes"/>
    <s v="Valid"/>
    <s v="No"/>
    <s v="No"/>
    <x v="0"/>
    <x v="63"/>
    <s v="Pending"/>
    <n v="42"/>
    <x v="3"/>
  </r>
  <r>
    <s v="DBR0108"/>
    <x v="0"/>
    <x v="4"/>
    <d v="2025-11-11T00:00:00"/>
    <d v="2025-12-18T00:00:00"/>
    <s v="No"/>
    <s v="Deficient"/>
    <s v="Yes"/>
    <s v="Yes"/>
    <x v="0"/>
    <x v="64"/>
    <s v="Paid"/>
    <n v="77"/>
    <x v="1"/>
  </r>
  <r>
    <s v="DBR0109"/>
    <x v="0"/>
    <x v="3"/>
    <d v="2025-02-03T00:00:00"/>
    <d v="2025-02-26T00:00:00"/>
    <s v="Yes"/>
    <s v="Valid"/>
    <s v="No"/>
    <s v="No"/>
    <x v="0"/>
    <x v="65"/>
    <s v="Paid"/>
    <n v="34"/>
    <x v="0"/>
  </r>
  <r>
    <s v="DBR0110"/>
    <x v="4"/>
    <x v="3"/>
    <d v="2025-05-19T00:00:00"/>
    <d v="2025-06-08T00:00:00"/>
    <s v="Yes"/>
    <s v="Rejected"/>
    <s v="No"/>
    <s v="No"/>
    <x v="1"/>
    <x v="2"/>
    <s v="Not Applicable"/>
    <n v="36"/>
    <x v="1"/>
  </r>
  <r>
    <s v="DBR0111"/>
    <x v="1"/>
    <x v="2"/>
    <d v="2025-11-09T00:00:00"/>
    <d v="2025-11-28T00:00:00"/>
    <s v="Yes"/>
    <s v="Rejected"/>
    <s v="No"/>
    <s v="No"/>
    <x v="1"/>
    <x v="2"/>
    <s v="Not Applicable"/>
    <n v="24"/>
    <x v="0"/>
  </r>
  <r>
    <s v="DBR0112"/>
    <x v="3"/>
    <x v="1"/>
    <d v="2025-05-16T00:00:00"/>
    <d v="2025-06-24T00:00:00"/>
    <s v="No"/>
    <s v="Rejected"/>
    <s v="No"/>
    <s v="No"/>
    <x v="1"/>
    <x v="2"/>
    <s v="Not Applicable"/>
    <n v="76"/>
    <x v="3"/>
  </r>
  <r>
    <s v="DBR0113"/>
    <x v="0"/>
    <x v="3"/>
    <d v="2025-01-04T00:00:00"/>
    <d v="2025-01-06T00:00:00"/>
    <s v="Yes"/>
    <s v="Deficient"/>
    <s v="Yes"/>
    <s v="No"/>
    <x v="1"/>
    <x v="2"/>
    <s v="Not Applicable"/>
    <n v="42"/>
    <x v="0"/>
  </r>
  <r>
    <s v="DBR0114"/>
    <x v="0"/>
    <x v="3"/>
    <d v="2025-09-17T00:00:00"/>
    <d v="2025-09-22T00:00:00"/>
    <s v="Yes"/>
    <s v="Valid"/>
    <s v="No"/>
    <s v="No"/>
    <x v="0"/>
    <x v="66"/>
    <s v="Paid"/>
    <n v="13"/>
    <x v="0"/>
  </r>
  <r>
    <s v="DBR0115"/>
    <x v="5"/>
    <x v="4"/>
    <d v="2025-01-08T00:00:00"/>
    <d v="2025-02-06T00:00:00"/>
    <s v="Yes"/>
    <s v="Rejected"/>
    <s v="No"/>
    <s v="No"/>
    <x v="1"/>
    <x v="2"/>
    <s v="Not Applicable"/>
    <n v="59"/>
    <x v="3"/>
  </r>
  <r>
    <s v="DBR0116"/>
    <x v="1"/>
    <x v="4"/>
    <d v="2025-04-09T00:00:00"/>
    <d v="2025-04-26T00:00:00"/>
    <s v="Yes"/>
    <s v="Deficient"/>
    <s v="Yes"/>
    <s v="No"/>
    <x v="1"/>
    <x v="2"/>
    <s v="Not Applicable"/>
    <n v="40"/>
    <x v="3"/>
  </r>
  <r>
    <s v="DBR0117"/>
    <x v="1"/>
    <x v="0"/>
    <d v="2025-08-07T00:00:00"/>
    <d v="2025-09-19T00:00:00"/>
    <s v="No"/>
    <s v="Rejected"/>
    <s v="No"/>
    <s v="No"/>
    <x v="1"/>
    <x v="2"/>
    <s v="Not Applicable"/>
    <n v="54"/>
    <x v="3"/>
  </r>
  <r>
    <s v="DBR0118"/>
    <x v="4"/>
    <x v="2"/>
    <d v="2025-03-10T00:00:00"/>
    <d v="2025-04-16T00:00:00"/>
    <s v="No"/>
    <s v="Rejected"/>
    <s v="No"/>
    <s v="No"/>
    <x v="1"/>
    <x v="2"/>
    <s v="Not Applicable"/>
    <n v="42"/>
    <x v="0"/>
  </r>
  <r>
    <s v="DBR0119"/>
    <x v="5"/>
    <x v="0"/>
    <d v="2025-12-10T00:00:00"/>
    <d v="2026-01-18T00:00:00"/>
    <s v="No"/>
    <s v="Valid"/>
    <s v="No"/>
    <s v="No"/>
    <x v="0"/>
    <x v="67"/>
    <s v="Paid"/>
    <n v="69"/>
    <x v="1"/>
  </r>
  <r>
    <s v="DBR0120"/>
    <x v="2"/>
    <x v="0"/>
    <d v="2025-08-21T00:00:00"/>
    <d v="2025-09-04T00:00:00"/>
    <s v="Yes"/>
    <s v="Valid"/>
    <s v="No"/>
    <s v="No"/>
    <x v="0"/>
    <x v="68"/>
    <s v="Paid"/>
    <n v="22"/>
    <x v="1"/>
  </r>
  <r>
    <s v="DBR0121"/>
    <x v="3"/>
    <x v="2"/>
    <d v="2025-10-25T00:00:00"/>
    <d v="2025-10-31T00:00:00"/>
    <s v="Yes"/>
    <s v="Rejected"/>
    <s v="No"/>
    <s v="No"/>
    <x v="1"/>
    <x v="2"/>
    <s v="Not Applicable"/>
    <n v="32"/>
    <x v="3"/>
  </r>
  <r>
    <s v="DBR0122"/>
    <x v="3"/>
    <x v="4"/>
    <d v="2025-08-27T00:00:00"/>
    <d v="2025-10-02T00:00:00"/>
    <s v="No"/>
    <s v="Rejected"/>
    <s v="No"/>
    <s v="No"/>
    <x v="1"/>
    <x v="2"/>
    <s v="Not Applicable"/>
    <n v="53"/>
    <x v="1"/>
  </r>
  <r>
    <s v="DBR0123"/>
    <x v="3"/>
    <x v="2"/>
    <d v="2025-01-07T00:00:00"/>
    <d v="2025-01-29T00:00:00"/>
    <s v="Yes"/>
    <s v="Deficient"/>
    <s v="Yes"/>
    <s v="No"/>
    <x v="1"/>
    <x v="2"/>
    <s v="Not Applicable"/>
    <n v="58"/>
    <x v="0"/>
  </r>
  <r>
    <s v="DBR0124"/>
    <x v="2"/>
    <x v="2"/>
    <d v="2025-06-12T00:00:00"/>
    <d v="2025-07-15T00:00:00"/>
    <s v="No"/>
    <s v="Valid"/>
    <s v="No"/>
    <s v="No"/>
    <x v="0"/>
    <x v="69"/>
    <s v="Paid"/>
    <n v="38"/>
    <x v="2"/>
  </r>
  <r>
    <s v="DBR0125"/>
    <x v="3"/>
    <x v="3"/>
    <d v="2025-05-11T00:00:00"/>
    <d v="2025-06-09T00:00:00"/>
    <s v="Yes"/>
    <s v="Deficient"/>
    <s v="Yes"/>
    <s v="No"/>
    <x v="1"/>
    <x v="2"/>
    <s v="Not Applicable"/>
    <n v="46"/>
    <x v="1"/>
  </r>
  <r>
    <s v="DBR0126"/>
    <x v="0"/>
    <x v="3"/>
    <d v="2025-12-14T00:00:00"/>
    <d v="2025-12-16T00:00:00"/>
    <s v="Yes"/>
    <s v="Rejected"/>
    <s v="No"/>
    <s v="No"/>
    <x v="1"/>
    <x v="2"/>
    <s v="Not Applicable"/>
    <n v="18"/>
    <x v="2"/>
  </r>
  <r>
    <s v="DBR0127"/>
    <x v="2"/>
    <x v="1"/>
    <d v="2025-08-10T00:00:00"/>
    <d v="2025-08-16T00:00:00"/>
    <s v="Yes"/>
    <s v="Deficient"/>
    <s v="Yes"/>
    <s v="No"/>
    <x v="1"/>
    <x v="2"/>
    <s v="Not Applicable"/>
    <n v="12"/>
    <x v="0"/>
  </r>
  <r>
    <s v="DBR0128"/>
    <x v="3"/>
    <x v="2"/>
    <d v="2025-06-28T00:00:00"/>
    <d v="2025-08-11T00:00:00"/>
    <s v="No"/>
    <s v="Valid"/>
    <s v="No"/>
    <s v="No"/>
    <x v="0"/>
    <x v="70"/>
    <s v="Pending"/>
    <n v="78"/>
    <x v="1"/>
  </r>
  <r>
    <s v="DBR0129"/>
    <x v="1"/>
    <x v="4"/>
    <d v="2025-07-05T00:00:00"/>
    <d v="2025-07-16T00:00:00"/>
    <s v="Yes"/>
    <s v="Deficient"/>
    <s v="Yes"/>
    <s v="No"/>
    <x v="1"/>
    <x v="2"/>
    <s v="Not Applicable"/>
    <n v="17"/>
    <x v="2"/>
  </r>
  <r>
    <s v="DBR0130"/>
    <x v="1"/>
    <x v="1"/>
    <d v="2025-04-17T00:00:00"/>
    <d v="2025-05-18T00:00:00"/>
    <s v="No"/>
    <s v="Deficient"/>
    <s v="Yes"/>
    <s v="No"/>
    <x v="1"/>
    <x v="2"/>
    <s v="Not Applicable"/>
    <n v="37"/>
    <x v="3"/>
  </r>
  <r>
    <s v="DBR0131"/>
    <x v="3"/>
    <x v="1"/>
    <d v="2025-02-04T00:00:00"/>
    <d v="2025-03-02T00:00:00"/>
    <s v="Yes"/>
    <s v="Valid"/>
    <s v="No"/>
    <s v="No"/>
    <x v="0"/>
    <x v="71"/>
    <s v="Paid"/>
    <n v="56"/>
    <x v="2"/>
  </r>
  <r>
    <s v="DBR0132"/>
    <x v="1"/>
    <x v="1"/>
    <d v="2025-12-12T00:00:00"/>
    <d v="2025-12-14T00:00:00"/>
    <s v="Yes"/>
    <s v="Valid"/>
    <s v="No"/>
    <s v="No"/>
    <x v="0"/>
    <x v="72"/>
    <s v="Pending"/>
    <n v="16"/>
    <x v="0"/>
  </r>
  <r>
    <s v="DBR0133"/>
    <x v="3"/>
    <x v="2"/>
    <d v="2025-04-15T00:00:00"/>
    <d v="2025-05-18T00:00:00"/>
    <s v="No"/>
    <s v="Valid"/>
    <s v="No"/>
    <s v="No"/>
    <x v="0"/>
    <x v="73"/>
    <s v="Paid"/>
    <n v="63"/>
    <x v="3"/>
  </r>
  <r>
    <s v="DBR0134"/>
    <x v="2"/>
    <x v="4"/>
    <d v="2025-04-05T00:00:00"/>
    <d v="2025-05-02T00:00:00"/>
    <s v="Yes"/>
    <s v="Deficient"/>
    <s v="Yes"/>
    <s v="No"/>
    <x v="1"/>
    <x v="2"/>
    <s v="Not Applicable"/>
    <n v="54"/>
    <x v="3"/>
  </r>
  <r>
    <s v="DBR0135"/>
    <x v="0"/>
    <x v="3"/>
    <d v="2025-08-21T00:00:00"/>
    <d v="2025-09-19T00:00:00"/>
    <s v="Yes"/>
    <s v="Deficient"/>
    <s v="Yes"/>
    <s v="Yes"/>
    <x v="0"/>
    <x v="74"/>
    <s v="Pending"/>
    <n v="40"/>
    <x v="0"/>
  </r>
  <r>
    <s v="DBR0136"/>
    <x v="1"/>
    <x v="2"/>
    <d v="2025-08-27T00:00:00"/>
    <d v="2025-09-28T00:00:00"/>
    <s v="No"/>
    <s v="Deficient"/>
    <s v="Yes"/>
    <s v="Yes"/>
    <x v="0"/>
    <x v="75"/>
    <s v="Paid"/>
    <n v="50"/>
    <x v="1"/>
  </r>
  <r>
    <s v="DBR0137"/>
    <x v="1"/>
    <x v="1"/>
    <d v="2025-08-25T00:00:00"/>
    <d v="2025-09-03T00:00:00"/>
    <s v="Yes"/>
    <s v="Rejected"/>
    <s v="No"/>
    <s v="No"/>
    <x v="1"/>
    <x v="2"/>
    <s v="Not Applicable"/>
    <n v="44"/>
    <x v="1"/>
  </r>
  <r>
    <s v="DBR0138"/>
    <x v="1"/>
    <x v="4"/>
    <d v="2025-05-19T00:00:00"/>
    <d v="2025-06-08T00:00:00"/>
    <s v="Yes"/>
    <s v="Deficient"/>
    <s v="Yes"/>
    <s v="Yes"/>
    <x v="0"/>
    <x v="76"/>
    <s v="Paid"/>
    <n v="33"/>
    <x v="1"/>
  </r>
  <r>
    <s v="DBR0139"/>
    <x v="5"/>
    <x v="0"/>
    <d v="2025-09-03T00:00:00"/>
    <d v="2025-09-29T00:00:00"/>
    <s v="Yes"/>
    <s v="Deficient"/>
    <s v="Yes"/>
    <s v="Yes"/>
    <x v="0"/>
    <x v="77"/>
    <s v="Paid"/>
    <n v="46"/>
    <x v="2"/>
  </r>
  <r>
    <s v="DBR0140"/>
    <x v="1"/>
    <x v="2"/>
    <d v="2025-07-19T00:00:00"/>
    <d v="2025-08-07T00:00:00"/>
    <s v="Yes"/>
    <s v="Deficient"/>
    <s v="Yes"/>
    <s v="No"/>
    <x v="1"/>
    <x v="2"/>
    <s v="Not Applicable"/>
    <n v="44"/>
    <x v="3"/>
  </r>
  <r>
    <s v="DBR0141"/>
    <x v="1"/>
    <x v="0"/>
    <d v="2025-08-03T00:00:00"/>
    <d v="2025-08-12T00:00:00"/>
    <s v="Yes"/>
    <s v="Valid"/>
    <s v="No"/>
    <s v="No"/>
    <x v="0"/>
    <x v="78"/>
    <s v="Paid"/>
    <n v="36"/>
    <x v="2"/>
  </r>
  <r>
    <s v="DBR0142"/>
    <x v="4"/>
    <x v="3"/>
    <d v="2025-10-07T00:00:00"/>
    <d v="2025-10-30T00:00:00"/>
    <s v="Yes"/>
    <s v="Valid"/>
    <s v="No"/>
    <s v="No"/>
    <x v="0"/>
    <x v="79"/>
    <s v="Paid"/>
    <n v="53"/>
    <x v="2"/>
  </r>
  <r>
    <s v="DBR0143"/>
    <x v="0"/>
    <x v="4"/>
    <d v="2025-10-01T00:00:00"/>
    <d v="2025-10-03T00:00:00"/>
    <s v="Yes"/>
    <s v="Rejected"/>
    <s v="No"/>
    <s v="No"/>
    <x v="1"/>
    <x v="2"/>
    <s v="Not Applicable"/>
    <n v="20"/>
    <x v="1"/>
  </r>
  <r>
    <s v="DBR0144"/>
    <x v="4"/>
    <x v="3"/>
    <d v="2025-11-10T00:00:00"/>
    <d v="2025-12-15T00:00:00"/>
    <s v="No"/>
    <s v="Valid"/>
    <s v="No"/>
    <s v="No"/>
    <x v="0"/>
    <x v="80"/>
    <s v="Paid"/>
    <n v="41"/>
    <x v="1"/>
  </r>
  <r>
    <s v="DBR0145"/>
    <x v="0"/>
    <x v="4"/>
    <d v="2025-04-04T00:00:00"/>
    <d v="2025-05-09T00:00:00"/>
    <s v="No"/>
    <s v="Valid"/>
    <s v="No"/>
    <s v="No"/>
    <x v="0"/>
    <x v="81"/>
    <s v="Paid"/>
    <n v="74"/>
    <x v="0"/>
  </r>
  <r>
    <s v="DBR0146"/>
    <x v="0"/>
    <x v="4"/>
    <d v="2025-05-16T00:00:00"/>
    <d v="2025-06-28T00:00:00"/>
    <s v="No"/>
    <s v="Rejected"/>
    <s v="No"/>
    <s v="No"/>
    <x v="1"/>
    <x v="2"/>
    <s v="Not Applicable"/>
    <n v="55"/>
    <x v="2"/>
  </r>
  <r>
    <s v="DBR0147"/>
    <x v="1"/>
    <x v="1"/>
    <d v="2025-03-09T00:00:00"/>
    <d v="2025-03-18T00:00:00"/>
    <s v="Yes"/>
    <s v="Valid"/>
    <s v="No"/>
    <s v="No"/>
    <x v="0"/>
    <x v="82"/>
    <s v="Pending"/>
    <n v="44"/>
    <x v="3"/>
  </r>
  <r>
    <s v="DBR0148"/>
    <x v="3"/>
    <x v="3"/>
    <d v="2025-12-26T00:00:00"/>
    <d v="2026-01-09T00:00:00"/>
    <s v="Yes"/>
    <s v="Rejected"/>
    <s v="No"/>
    <s v="No"/>
    <x v="1"/>
    <x v="2"/>
    <s v="Not Applicable"/>
    <n v="21"/>
    <x v="2"/>
  </r>
  <r>
    <s v="DBR0149"/>
    <x v="1"/>
    <x v="4"/>
    <d v="2025-06-17T00:00:00"/>
    <d v="2025-07-23T00:00:00"/>
    <s v="No"/>
    <s v="Rejected"/>
    <s v="No"/>
    <s v="No"/>
    <x v="1"/>
    <x v="2"/>
    <s v="Not Applicable"/>
    <n v="54"/>
    <x v="1"/>
  </r>
  <r>
    <s v="DBR0150"/>
    <x v="3"/>
    <x v="1"/>
    <d v="2025-03-21T00:00:00"/>
    <d v="2025-04-08T00:00:00"/>
    <s v="Yes"/>
    <s v="Valid"/>
    <s v="No"/>
    <s v="No"/>
    <x v="0"/>
    <x v="83"/>
    <s v="Paid"/>
    <n v="24"/>
    <x v="1"/>
  </r>
  <r>
    <s v="DBR0151"/>
    <x v="1"/>
    <x v="4"/>
    <d v="2025-02-24T00:00:00"/>
    <d v="2025-03-28T00:00:00"/>
    <s v="No"/>
    <s v="Rejected"/>
    <s v="No"/>
    <s v="No"/>
    <x v="1"/>
    <x v="2"/>
    <s v="Not Applicable"/>
    <n v="61"/>
    <x v="2"/>
  </r>
  <r>
    <s v="DBR0152"/>
    <x v="4"/>
    <x v="0"/>
    <d v="2025-06-10T00:00:00"/>
    <d v="2025-06-30T00:00:00"/>
    <s v="Yes"/>
    <s v="Rejected"/>
    <s v="No"/>
    <s v="No"/>
    <x v="1"/>
    <x v="2"/>
    <s v="Not Applicable"/>
    <n v="26"/>
    <x v="1"/>
  </r>
  <r>
    <s v="DBR0153"/>
    <x v="2"/>
    <x v="0"/>
    <d v="2025-03-17T00:00:00"/>
    <d v="2025-04-15T00:00:00"/>
    <s v="Yes"/>
    <s v="Valid"/>
    <s v="No"/>
    <s v="No"/>
    <x v="0"/>
    <x v="84"/>
    <s v="Paid"/>
    <n v="47"/>
    <x v="1"/>
  </r>
  <r>
    <s v="DBR0154"/>
    <x v="3"/>
    <x v="1"/>
    <d v="2025-07-28T00:00:00"/>
    <d v="2025-08-11T00:00:00"/>
    <s v="Yes"/>
    <s v="Deficient"/>
    <s v="Yes"/>
    <s v="No"/>
    <x v="1"/>
    <x v="2"/>
    <s v="Not Applicable"/>
    <n v="21"/>
    <x v="1"/>
  </r>
  <r>
    <s v="DBR0155"/>
    <x v="5"/>
    <x v="3"/>
    <d v="2025-01-18T00:00:00"/>
    <d v="2025-02-27T00:00:00"/>
    <s v="No"/>
    <s v="Rejected"/>
    <s v="No"/>
    <s v="No"/>
    <x v="1"/>
    <x v="2"/>
    <s v="Not Applicable"/>
    <n v="60"/>
    <x v="2"/>
  </r>
  <r>
    <s v="DBR0156"/>
    <x v="5"/>
    <x v="2"/>
    <d v="2025-05-14T00:00:00"/>
    <d v="2025-06-19T00:00:00"/>
    <s v="No"/>
    <s v="Valid"/>
    <s v="No"/>
    <s v="No"/>
    <x v="0"/>
    <x v="85"/>
    <s v="Pending"/>
    <n v="57"/>
    <x v="3"/>
  </r>
  <r>
    <s v="DBR0157"/>
    <x v="0"/>
    <x v="3"/>
    <d v="2025-12-04T00:00:00"/>
    <d v="2025-12-19T00:00:00"/>
    <s v="Yes"/>
    <s v="Deficient"/>
    <s v="Yes"/>
    <s v="No"/>
    <x v="1"/>
    <x v="2"/>
    <s v="Not Applicable"/>
    <n v="48"/>
    <x v="2"/>
  </r>
  <r>
    <s v="DBR0158"/>
    <x v="1"/>
    <x v="1"/>
    <d v="2025-06-09T00:00:00"/>
    <d v="2025-07-17T00:00:00"/>
    <s v="No"/>
    <s v="Valid"/>
    <s v="No"/>
    <s v="No"/>
    <x v="0"/>
    <x v="86"/>
    <s v="Paid"/>
    <n v="55"/>
    <x v="2"/>
  </r>
  <r>
    <s v="DBR0159"/>
    <x v="0"/>
    <x v="4"/>
    <d v="2025-05-22T00:00:00"/>
    <d v="2025-06-27T00:00:00"/>
    <s v="No"/>
    <s v="Deficient"/>
    <s v="Yes"/>
    <s v="Yes"/>
    <x v="0"/>
    <x v="87"/>
    <s v="Paid"/>
    <n v="74"/>
    <x v="0"/>
  </r>
  <r>
    <s v="DBR0160"/>
    <x v="0"/>
    <x v="4"/>
    <d v="2025-12-28T00:00:00"/>
    <d v="2026-02-10T00:00:00"/>
    <s v="No"/>
    <s v="Rejected"/>
    <s v="No"/>
    <s v="No"/>
    <x v="1"/>
    <x v="2"/>
    <s v="Not Applicable"/>
    <n v="52"/>
    <x v="1"/>
  </r>
  <r>
    <s v="DBR0161"/>
    <x v="1"/>
    <x v="3"/>
    <d v="2025-07-05T00:00:00"/>
    <d v="2025-08-10T00:00:00"/>
    <s v="No"/>
    <s v="Valid"/>
    <s v="No"/>
    <s v="No"/>
    <x v="0"/>
    <x v="88"/>
    <s v="Paid"/>
    <n v="53"/>
    <x v="1"/>
  </r>
  <r>
    <s v="DBR0162"/>
    <x v="1"/>
    <x v="3"/>
    <d v="2025-05-28T00:00:00"/>
    <d v="2025-07-03T00:00:00"/>
    <s v="No"/>
    <s v="Deficient"/>
    <s v="Yes"/>
    <s v="Yes"/>
    <x v="0"/>
    <x v="89"/>
    <s v="Paid"/>
    <n v="53"/>
    <x v="1"/>
  </r>
  <r>
    <s v="DBR0163"/>
    <x v="1"/>
    <x v="3"/>
    <d v="2025-11-18T00:00:00"/>
    <d v="2025-12-20T00:00:00"/>
    <s v="No"/>
    <s v="Deficient"/>
    <s v="Yes"/>
    <s v="Yes"/>
    <x v="0"/>
    <x v="90"/>
    <s v="Paid"/>
    <n v="60"/>
    <x v="1"/>
  </r>
  <r>
    <s v="DBR0164"/>
    <x v="1"/>
    <x v="1"/>
    <d v="2025-09-10T00:00:00"/>
    <d v="2025-09-16T00:00:00"/>
    <s v="Yes"/>
    <s v="Valid"/>
    <s v="No"/>
    <s v="No"/>
    <x v="0"/>
    <x v="91"/>
    <s v="Paid"/>
    <n v="15"/>
    <x v="2"/>
  </r>
  <r>
    <s v="DBR0165"/>
    <x v="3"/>
    <x v="0"/>
    <d v="2025-01-09T00:00:00"/>
    <d v="2025-01-25T00:00:00"/>
    <s v="Yes"/>
    <s v="Deficient"/>
    <s v="Yes"/>
    <s v="Yes"/>
    <x v="0"/>
    <x v="92"/>
    <s v="Paid"/>
    <n v="27"/>
    <x v="3"/>
  </r>
  <r>
    <s v="DBR0166"/>
    <x v="2"/>
    <x v="3"/>
    <d v="2025-02-18T00:00:00"/>
    <d v="2025-03-21T00:00:00"/>
    <s v="No"/>
    <s v="Deficient"/>
    <s v="Yes"/>
    <s v="Yes"/>
    <x v="0"/>
    <x v="93"/>
    <s v="Paid"/>
    <n v="46"/>
    <x v="2"/>
  </r>
  <r>
    <s v="DBR0167"/>
    <x v="1"/>
    <x v="0"/>
    <d v="2025-12-02T00:00:00"/>
    <d v="2025-12-04T00:00:00"/>
    <s v="Yes"/>
    <s v="Deficient"/>
    <s v="Yes"/>
    <s v="No"/>
    <x v="1"/>
    <x v="2"/>
    <s v="Not Applicable"/>
    <n v="9"/>
    <x v="0"/>
  </r>
  <r>
    <s v="DBR0168"/>
    <x v="1"/>
    <x v="4"/>
    <d v="2025-11-13T00:00:00"/>
    <d v="2025-12-16T00:00:00"/>
    <s v="No"/>
    <s v="Deficient"/>
    <s v="Yes"/>
    <s v="Yes"/>
    <x v="0"/>
    <x v="94"/>
    <s v="Pending"/>
    <n v="57"/>
    <x v="3"/>
  </r>
  <r>
    <s v="DBR0169"/>
    <x v="1"/>
    <x v="0"/>
    <d v="2025-05-24T00:00:00"/>
    <d v="2025-06-20T00:00:00"/>
    <s v="Yes"/>
    <s v="Rejected"/>
    <s v="No"/>
    <s v="No"/>
    <x v="1"/>
    <x v="2"/>
    <s v="Not Applicable"/>
    <n v="57"/>
    <x v="3"/>
  </r>
  <r>
    <s v="DBR0170"/>
    <x v="1"/>
    <x v="0"/>
    <d v="2025-10-28T00:00:00"/>
    <d v="2025-11-02T00:00:00"/>
    <s v="Yes"/>
    <s v="Valid"/>
    <s v="No"/>
    <s v="No"/>
    <x v="0"/>
    <x v="95"/>
    <s v="Paid"/>
    <n v="22"/>
    <x v="2"/>
  </r>
  <r>
    <s v="DBR0171"/>
    <x v="3"/>
    <x v="0"/>
    <d v="2025-05-22T00:00:00"/>
    <d v="2025-05-24T00:00:00"/>
    <s v="Yes"/>
    <s v="Valid"/>
    <s v="No"/>
    <s v="No"/>
    <x v="0"/>
    <x v="96"/>
    <s v="Paid"/>
    <n v="15"/>
    <x v="0"/>
  </r>
  <r>
    <s v="DBR0172"/>
    <x v="0"/>
    <x v="2"/>
    <d v="2025-08-23T00:00:00"/>
    <d v="2025-08-28T00:00:00"/>
    <s v="Yes"/>
    <s v="Rejected"/>
    <s v="No"/>
    <s v="No"/>
    <x v="1"/>
    <x v="2"/>
    <s v="Not Applicable"/>
    <n v="10"/>
    <x v="3"/>
  </r>
  <r>
    <s v="DBR0173"/>
    <x v="1"/>
    <x v="2"/>
    <d v="2025-10-24T00:00:00"/>
    <d v="2025-11-28T00:00:00"/>
    <s v="No"/>
    <s v="Rejected"/>
    <s v="No"/>
    <s v="No"/>
    <x v="1"/>
    <x v="2"/>
    <s v="Not Applicable"/>
    <n v="45"/>
    <x v="1"/>
  </r>
  <r>
    <s v="DBR0174"/>
    <x v="5"/>
    <x v="3"/>
    <d v="2025-02-26T00:00:00"/>
    <d v="2025-03-10T00:00:00"/>
    <s v="Yes"/>
    <s v="Rejected"/>
    <s v="No"/>
    <s v="No"/>
    <x v="1"/>
    <x v="2"/>
    <s v="Not Applicable"/>
    <n v="41"/>
    <x v="2"/>
  </r>
  <r>
    <s v="DBR0175"/>
    <x v="5"/>
    <x v="2"/>
    <d v="2025-04-03T00:00:00"/>
    <d v="2025-04-13T00:00:00"/>
    <s v="Yes"/>
    <s v="Rejected"/>
    <s v="No"/>
    <s v="No"/>
    <x v="1"/>
    <x v="2"/>
    <s v="Not Applicable"/>
    <n v="27"/>
    <x v="2"/>
  </r>
  <r>
    <s v="DBR0176"/>
    <x v="3"/>
    <x v="1"/>
    <d v="2025-05-27T00:00:00"/>
    <d v="2025-06-02T00:00:00"/>
    <s v="Yes"/>
    <s v="Deficient"/>
    <s v="Yes"/>
    <s v="Yes"/>
    <x v="0"/>
    <x v="97"/>
    <s v="Paid"/>
    <n v="22"/>
    <x v="0"/>
  </r>
  <r>
    <s v="DBR0177"/>
    <x v="5"/>
    <x v="1"/>
    <d v="2025-12-19T00:00:00"/>
    <d v="2025-12-21T00:00:00"/>
    <s v="Yes"/>
    <s v="Valid"/>
    <s v="No"/>
    <s v="No"/>
    <x v="0"/>
    <x v="98"/>
    <s v="Paid"/>
    <n v="31"/>
    <x v="1"/>
  </r>
  <r>
    <s v="DBR0178"/>
    <x v="3"/>
    <x v="0"/>
    <d v="2025-03-28T00:00:00"/>
    <d v="2025-04-15T00:00:00"/>
    <s v="Yes"/>
    <s v="Valid"/>
    <s v="No"/>
    <s v="No"/>
    <x v="0"/>
    <x v="99"/>
    <s v="Paid"/>
    <n v="58"/>
    <x v="0"/>
  </r>
  <r>
    <s v="DBR0179"/>
    <x v="0"/>
    <x v="2"/>
    <d v="2025-11-06T00:00:00"/>
    <d v="2025-11-16T00:00:00"/>
    <s v="Yes"/>
    <s v="Deficient"/>
    <s v="Yes"/>
    <s v="Yes"/>
    <x v="0"/>
    <x v="100"/>
    <s v="Paid"/>
    <n v="35"/>
    <x v="2"/>
  </r>
  <r>
    <s v="DBR0180"/>
    <x v="4"/>
    <x v="0"/>
    <d v="2025-04-22T00:00:00"/>
    <d v="2025-04-26T00:00:00"/>
    <s v="Yes"/>
    <s v="Rejected"/>
    <s v="No"/>
    <s v="No"/>
    <x v="1"/>
    <x v="2"/>
    <s v="Not Applicable"/>
    <n v="24"/>
    <x v="0"/>
  </r>
  <r>
    <s v="DBR0181"/>
    <x v="3"/>
    <x v="4"/>
    <d v="2025-11-06T00:00:00"/>
    <d v="2025-11-17T00:00:00"/>
    <s v="Yes"/>
    <s v="Deficient"/>
    <s v="Yes"/>
    <s v="Yes"/>
    <x v="0"/>
    <x v="101"/>
    <s v="Paid"/>
    <n v="42"/>
    <x v="2"/>
  </r>
  <r>
    <s v="DBR0182"/>
    <x v="5"/>
    <x v="1"/>
    <d v="2025-08-18T00:00:00"/>
    <d v="2025-09-06T00:00:00"/>
    <s v="Yes"/>
    <s v="Rejected"/>
    <s v="No"/>
    <s v="No"/>
    <x v="1"/>
    <x v="2"/>
    <s v="Not Applicable"/>
    <n v="25"/>
    <x v="3"/>
  </r>
  <r>
    <s v="DBR0183"/>
    <x v="0"/>
    <x v="1"/>
    <d v="2025-07-25T00:00:00"/>
    <d v="2025-09-06T00:00:00"/>
    <s v="No"/>
    <s v="Rejected"/>
    <s v="No"/>
    <s v="No"/>
    <x v="1"/>
    <x v="2"/>
    <s v="Not Applicable"/>
    <n v="62"/>
    <x v="0"/>
  </r>
  <r>
    <s v="DBR0184"/>
    <x v="3"/>
    <x v="0"/>
    <d v="2025-03-17T00:00:00"/>
    <d v="2025-03-22T00:00:00"/>
    <s v="Yes"/>
    <s v="Rejected"/>
    <s v="No"/>
    <s v="No"/>
    <x v="1"/>
    <x v="2"/>
    <s v="Not Applicable"/>
    <n v="38"/>
    <x v="1"/>
  </r>
  <r>
    <s v="DBR0185"/>
    <x v="3"/>
    <x v="1"/>
    <d v="2025-12-10T00:00:00"/>
    <d v="2026-01-18T00:00:00"/>
    <s v="No"/>
    <s v="Rejected"/>
    <s v="No"/>
    <s v="No"/>
    <x v="1"/>
    <x v="2"/>
    <s v="Not Applicable"/>
    <n v="76"/>
    <x v="0"/>
  </r>
  <r>
    <s v="DBR0186"/>
    <x v="5"/>
    <x v="3"/>
    <d v="2025-03-08T00:00:00"/>
    <d v="2025-03-14T00:00:00"/>
    <s v="Yes"/>
    <s v="Rejected"/>
    <s v="No"/>
    <s v="No"/>
    <x v="1"/>
    <x v="2"/>
    <s v="Not Applicable"/>
    <n v="30"/>
    <x v="1"/>
  </r>
  <r>
    <s v="DBR0187"/>
    <x v="5"/>
    <x v="0"/>
    <d v="2025-07-07T00:00:00"/>
    <d v="2025-08-10T00:00:00"/>
    <s v="No"/>
    <s v="Valid"/>
    <s v="No"/>
    <s v="No"/>
    <x v="0"/>
    <x v="102"/>
    <s v="Paid"/>
    <n v="64"/>
    <x v="1"/>
  </r>
  <r>
    <s v="DBR0188"/>
    <x v="0"/>
    <x v="0"/>
    <d v="2025-05-12T00:00:00"/>
    <d v="2025-06-11T00:00:00"/>
    <s v="Yes"/>
    <s v="Valid"/>
    <s v="No"/>
    <s v="No"/>
    <x v="0"/>
    <x v="103"/>
    <s v="Paid"/>
    <n v="40"/>
    <x v="3"/>
  </r>
  <r>
    <s v="DBR0189"/>
    <x v="2"/>
    <x v="0"/>
    <d v="2025-01-24T00:00:00"/>
    <d v="2025-01-30T00:00:00"/>
    <s v="Yes"/>
    <s v="Deficient"/>
    <s v="Yes"/>
    <s v="Yes"/>
    <x v="0"/>
    <x v="104"/>
    <s v="Paid"/>
    <n v="16"/>
    <x v="2"/>
  </r>
  <r>
    <s v="DBR0190"/>
    <x v="0"/>
    <x v="3"/>
    <d v="2025-06-26T00:00:00"/>
    <d v="2025-07-22T00:00:00"/>
    <s v="Yes"/>
    <s v="Deficient"/>
    <s v="Yes"/>
    <s v="No"/>
    <x v="1"/>
    <x v="2"/>
    <s v="Not Applicable"/>
    <n v="50"/>
    <x v="2"/>
  </r>
  <r>
    <s v="DBR0191"/>
    <x v="0"/>
    <x v="1"/>
    <d v="2025-05-26T00:00:00"/>
    <d v="2025-06-11T00:00:00"/>
    <s v="Yes"/>
    <s v="Deficient"/>
    <s v="Yes"/>
    <s v="Yes"/>
    <x v="0"/>
    <x v="105"/>
    <s v="Pending"/>
    <n v="27"/>
    <x v="3"/>
  </r>
  <r>
    <s v="DBR0192"/>
    <x v="1"/>
    <x v="0"/>
    <d v="2025-10-11T00:00:00"/>
    <d v="2025-10-18T00:00:00"/>
    <s v="Yes"/>
    <s v="Valid"/>
    <s v="No"/>
    <s v="No"/>
    <x v="0"/>
    <x v="106"/>
    <s v="Paid"/>
    <n v="44"/>
    <x v="3"/>
  </r>
  <r>
    <s v="DBR0193"/>
    <x v="3"/>
    <x v="3"/>
    <d v="2025-07-19T00:00:00"/>
    <d v="2025-08-13T00:00:00"/>
    <s v="Yes"/>
    <s v="Rejected"/>
    <s v="No"/>
    <s v="No"/>
    <x v="1"/>
    <x v="2"/>
    <s v="Not Applicable"/>
    <n v="45"/>
    <x v="0"/>
  </r>
  <r>
    <s v="DBR0194"/>
    <x v="2"/>
    <x v="0"/>
    <d v="2025-03-08T00:00:00"/>
    <d v="2025-04-12T00:00:00"/>
    <s v="No"/>
    <s v="Rejected"/>
    <s v="No"/>
    <s v="No"/>
    <x v="1"/>
    <x v="2"/>
    <s v="Not Applicable"/>
    <n v="47"/>
    <x v="2"/>
  </r>
  <r>
    <s v="DBR0195"/>
    <x v="1"/>
    <x v="1"/>
    <d v="2025-09-08T00:00:00"/>
    <d v="2025-09-16T00:00:00"/>
    <s v="Yes"/>
    <s v="Valid"/>
    <s v="No"/>
    <s v="No"/>
    <x v="0"/>
    <x v="107"/>
    <s v="Paid"/>
    <n v="28"/>
    <x v="0"/>
  </r>
  <r>
    <s v="DBR0196"/>
    <x v="3"/>
    <x v="4"/>
    <d v="2025-02-02T00:00:00"/>
    <d v="2025-02-15T00:00:00"/>
    <s v="Yes"/>
    <s v="Deficient"/>
    <s v="Yes"/>
    <s v="Yes"/>
    <x v="0"/>
    <x v="108"/>
    <s v="Paid"/>
    <n v="33"/>
    <x v="1"/>
  </r>
  <r>
    <s v="DBR0197"/>
    <x v="3"/>
    <x v="0"/>
    <d v="2025-08-05T00:00:00"/>
    <d v="2025-09-02T00:00:00"/>
    <s v="Yes"/>
    <s v="Rejected"/>
    <s v="No"/>
    <s v="No"/>
    <x v="1"/>
    <x v="2"/>
    <s v="Not Applicable"/>
    <n v="55"/>
    <x v="0"/>
  </r>
  <r>
    <s v="DBR0198"/>
    <x v="1"/>
    <x v="1"/>
    <d v="2025-04-28T00:00:00"/>
    <d v="2025-06-05T00:00:00"/>
    <s v="No"/>
    <s v="Rejected"/>
    <s v="No"/>
    <s v="No"/>
    <x v="1"/>
    <x v="2"/>
    <s v="Not Applicable"/>
    <n v="60"/>
    <x v="0"/>
  </r>
  <r>
    <s v="DBR0199"/>
    <x v="4"/>
    <x v="1"/>
    <d v="2025-12-28T00:00:00"/>
    <d v="2026-01-23T00:00:00"/>
    <s v="Yes"/>
    <s v="Valid"/>
    <s v="No"/>
    <s v="No"/>
    <x v="0"/>
    <x v="109"/>
    <s v="Paid"/>
    <n v="36"/>
    <x v="1"/>
  </r>
  <r>
    <s v="DBR0200"/>
    <x v="0"/>
    <x v="3"/>
    <d v="2025-07-26T00:00:00"/>
    <d v="2025-08-18T00:00:00"/>
    <s v="Yes"/>
    <s v="Valid"/>
    <s v="No"/>
    <s v="No"/>
    <x v="0"/>
    <x v="110"/>
    <s v="Paid"/>
    <n v="43"/>
    <x v="0"/>
  </r>
  <r>
    <s v="DBR0201"/>
    <x v="0"/>
    <x v="4"/>
    <d v="2025-01-08T00:00:00"/>
    <d v="2025-01-31T00:00:00"/>
    <s v="Yes"/>
    <s v="Valid"/>
    <s v="No"/>
    <s v="No"/>
    <x v="0"/>
    <x v="111"/>
    <s v="Paid"/>
    <n v="30"/>
    <x v="0"/>
  </r>
  <r>
    <s v="DBR0202"/>
    <x v="0"/>
    <x v="4"/>
    <d v="2025-11-28T00:00:00"/>
    <d v="2026-01-11T00:00:00"/>
    <s v="No"/>
    <s v="Deficient"/>
    <s v="Yes"/>
    <s v="Yes"/>
    <x v="0"/>
    <x v="112"/>
    <s v="Paid"/>
    <n v="50"/>
    <x v="0"/>
  </r>
  <r>
    <s v="DBR0203"/>
    <x v="5"/>
    <x v="3"/>
    <d v="2025-11-12T00:00:00"/>
    <d v="2025-12-12T00:00:00"/>
    <s v="Yes"/>
    <s v="Rejected"/>
    <s v="No"/>
    <s v="No"/>
    <x v="1"/>
    <x v="2"/>
    <s v="Not Applicable"/>
    <n v="63"/>
    <x v="1"/>
  </r>
  <r>
    <s v="DBR0204"/>
    <x v="5"/>
    <x v="4"/>
    <d v="2025-10-05T00:00:00"/>
    <d v="2025-11-15T00:00:00"/>
    <s v="No"/>
    <s v="Valid"/>
    <s v="No"/>
    <s v="No"/>
    <x v="0"/>
    <x v="113"/>
    <s v="Paid"/>
    <n v="81"/>
    <x v="0"/>
  </r>
  <r>
    <s v="DBR0205"/>
    <x v="0"/>
    <x v="1"/>
    <d v="2025-01-12T00:00:00"/>
    <d v="2025-01-28T00:00:00"/>
    <s v="Yes"/>
    <s v="Deficient"/>
    <s v="Yes"/>
    <s v="Yes"/>
    <x v="0"/>
    <x v="114"/>
    <s v="Paid"/>
    <n v="50"/>
    <x v="0"/>
  </r>
  <r>
    <s v="DBR0206"/>
    <x v="0"/>
    <x v="3"/>
    <d v="2025-03-26T00:00:00"/>
    <d v="2025-04-07T00:00:00"/>
    <s v="Yes"/>
    <s v="Deficient"/>
    <s v="Yes"/>
    <s v="No"/>
    <x v="1"/>
    <x v="2"/>
    <s v="Not Applicable"/>
    <n v="31"/>
    <x v="2"/>
  </r>
  <r>
    <s v="DBR0207"/>
    <x v="0"/>
    <x v="4"/>
    <d v="2025-09-19T00:00:00"/>
    <d v="2025-10-12T00:00:00"/>
    <s v="Yes"/>
    <s v="Deficient"/>
    <s v="Yes"/>
    <s v="Yes"/>
    <x v="0"/>
    <x v="115"/>
    <s v="Paid"/>
    <n v="54"/>
    <x v="0"/>
  </r>
  <r>
    <s v="DBR0208"/>
    <x v="3"/>
    <x v="0"/>
    <d v="2025-07-16T00:00:00"/>
    <d v="2025-08-10T00:00:00"/>
    <s v="Yes"/>
    <s v="Valid"/>
    <s v="No"/>
    <s v="No"/>
    <x v="0"/>
    <x v="116"/>
    <s v="Paid"/>
    <n v="54"/>
    <x v="0"/>
  </r>
  <r>
    <s v="DBR0209"/>
    <x v="3"/>
    <x v="1"/>
    <d v="2025-09-24T00:00:00"/>
    <d v="2025-11-07T00:00:00"/>
    <s v="No"/>
    <s v="Rejected"/>
    <s v="No"/>
    <s v="No"/>
    <x v="1"/>
    <x v="2"/>
    <s v="Not Applicable"/>
    <n v="70"/>
    <x v="0"/>
  </r>
  <r>
    <s v="DBR0210"/>
    <x v="3"/>
    <x v="0"/>
    <d v="2025-03-25T00:00:00"/>
    <d v="2025-04-07T00:00:00"/>
    <s v="Yes"/>
    <s v="Valid"/>
    <s v="No"/>
    <s v="No"/>
    <x v="0"/>
    <x v="117"/>
    <s v="Paid"/>
    <n v="30"/>
    <x v="0"/>
  </r>
  <r>
    <s v="DBR0211"/>
    <x v="0"/>
    <x v="0"/>
    <d v="2025-05-18T00:00:00"/>
    <d v="2025-06-09T00:00:00"/>
    <s v="Yes"/>
    <s v="Rejected"/>
    <s v="No"/>
    <s v="No"/>
    <x v="1"/>
    <x v="2"/>
    <s v="Not Applicable"/>
    <n v="56"/>
    <x v="2"/>
  </r>
  <r>
    <s v="DBR0212"/>
    <x v="1"/>
    <x v="0"/>
    <d v="2025-06-26T00:00:00"/>
    <d v="2025-08-09T00:00:00"/>
    <s v="No"/>
    <s v="Deficient"/>
    <s v="Yes"/>
    <s v="Yes"/>
    <x v="0"/>
    <x v="118"/>
    <s v="Paid"/>
    <n v="69"/>
    <x v="1"/>
  </r>
  <r>
    <s v="DBR0213"/>
    <x v="0"/>
    <x v="0"/>
    <d v="2025-03-11T00:00:00"/>
    <d v="2025-04-22T00:00:00"/>
    <s v="No"/>
    <s v="Rejected"/>
    <s v="No"/>
    <s v="No"/>
    <x v="1"/>
    <x v="2"/>
    <s v="Not Applicable"/>
    <n v="82"/>
    <x v="3"/>
  </r>
  <r>
    <s v="DBR0214"/>
    <x v="0"/>
    <x v="3"/>
    <d v="2025-11-18T00:00:00"/>
    <d v="2026-01-02T00:00:00"/>
    <s v="No"/>
    <s v="Deficient"/>
    <s v="Yes"/>
    <s v="Yes"/>
    <x v="0"/>
    <x v="119"/>
    <s v="Paid"/>
    <n v="72"/>
    <x v="3"/>
  </r>
  <r>
    <s v="DBR0215"/>
    <x v="4"/>
    <x v="3"/>
    <d v="2025-12-04T00:00:00"/>
    <d v="2025-12-19T00:00:00"/>
    <s v="Yes"/>
    <s v="Deficient"/>
    <s v="Yes"/>
    <s v="No"/>
    <x v="1"/>
    <x v="2"/>
    <s v="Not Applicable"/>
    <n v="28"/>
    <x v="1"/>
  </r>
  <r>
    <s v="DBR0216"/>
    <x v="3"/>
    <x v="1"/>
    <d v="2025-02-18T00:00:00"/>
    <d v="2025-02-24T00:00:00"/>
    <s v="Yes"/>
    <s v="Deficient"/>
    <s v="Yes"/>
    <s v="No"/>
    <x v="1"/>
    <x v="2"/>
    <s v="Not Applicable"/>
    <n v="27"/>
    <x v="3"/>
  </r>
  <r>
    <s v="DBR0217"/>
    <x v="1"/>
    <x v="2"/>
    <d v="2025-11-10T00:00:00"/>
    <d v="2025-11-12T00:00:00"/>
    <s v="Yes"/>
    <s v="Valid"/>
    <s v="No"/>
    <s v="No"/>
    <x v="0"/>
    <x v="120"/>
    <s v="Paid"/>
    <n v="17"/>
    <x v="2"/>
  </r>
  <r>
    <s v="DBR0218"/>
    <x v="5"/>
    <x v="2"/>
    <d v="2025-10-19T00:00:00"/>
    <d v="2025-10-25T00:00:00"/>
    <s v="Yes"/>
    <s v="Deficient"/>
    <s v="Yes"/>
    <s v="No"/>
    <x v="1"/>
    <x v="2"/>
    <s v="Not Applicable"/>
    <n v="30"/>
    <x v="1"/>
  </r>
  <r>
    <s v="DBR0219"/>
    <x v="1"/>
    <x v="2"/>
    <d v="2025-04-02T00:00:00"/>
    <d v="2025-05-11T00:00:00"/>
    <s v="No"/>
    <s v="Deficient"/>
    <s v="Yes"/>
    <s v="Yes"/>
    <x v="0"/>
    <x v="121"/>
    <s v="Paid"/>
    <n v="79"/>
    <x v="3"/>
  </r>
  <r>
    <s v="DBR0220"/>
    <x v="3"/>
    <x v="2"/>
    <d v="2025-08-10T00:00:00"/>
    <d v="2025-09-03T00:00:00"/>
    <s v="Yes"/>
    <s v="Valid"/>
    <s v="No"/>
    <s v="No"/>
    <x v="0"/>
    <x v="122"/>
    <s v="Pending"/>
    <n v="32"/>
    <x v="2"/>
  </r>
  <r>
    <s v="DBR0221"/>
    <x v="5"/>
    <x v="0"/>
    <d v="2025-08-11T00:00:00"/>
    <d v="2025-08-18T00:00:00"/>
    <s v="Yes"/>
    <s v="Rejected"/>
    <s v="No"/>
    <s v="No"/>
    <x v="1"/>
    <x v="2"/>
    <s v="Not Applicable"/>
    <n v="33"/>
    <x v="1"/>
  </r>
  <r>
    <s v="DBR0222"/>
    <x v="4"/>
    <x v="3"/>
    <d v="2025-02-04T00:00:00"/>
    <d v="2025-02-15T00:00:00"/>
    <s v="Yes"/>
    <s v="Deficient"/>
    <s v="Yes"/>
    <s v="Yes"/>
    <x v="0"/>
    <x v="123"/>
    <s v="Paid"/>
    <n v="19"/>
    <x v="2"/>
  </r>
  <r>
    <s v="DBR0223"/>
    <x v="0"/>
    <x v="1"/>
    <d v="2025-11-12T00:00:00"/>
    <d v="2025-12-17T00:00:00"/>
    <s v="No"/>
    <s v="Valid"/>
    <s v="No"/>
    <s v="No"/>
    <x v="0"/>
    <x v="124"/>
    <s v="Paid"/>
    <n v="41"/>
    <x v="3"/>
  </r>
  <r>
    <s v="DBR0224"/>
    <x v="3"/>
    <x v="2"/>
    <d v="2025-09-23T00:00:00"/>
    <d v="2025-09-30T00:00:00"/>
    <s v="Yes"/>
    <s v="Valid"/>
    <s v="No"/>
    <s v="No"/>
    <x v="0"/>
    <x v="125"/>
    <s v="Pending"/>
    <n v="24"/>
    <x v="2"/>
  </r>
  <r>
    <s v="DBR0225"/>
    <x v="3"/>
    <x v="2"/>
    <d v="2025-04-18T00:00:00"/>
    <d v="2025-05-06T00:00:00"/>
    <s v="Yes"/>
    <s v="Deficient"/>
    <s v="Yes"/>
    <s v="Yes"/>
    <x v="0"/>
    <x v="126"/>
    <s v="Paid"/>
    <n v="25"/>
    <x v="0"/>
  </r>
  <r>
    <s v="DBR0226"/>
    <x v="0"/>
    <x v="0"/>
    <d v="2025-11-05T00:00:00"/>
    <d v="2025-12-13T00:00:00"/>
    <s v="No"/>
    <s v="Deficient"/>
    <s v="Yes"/>
    <s v="Yes"/>
    <x v="0"/>
    <x v="127"/>
    <s v="Paid"/>
    <n v="44"/>
    <x v="2"/>
  </r>
  <r>
    <s v="DBR0227"/>
    <x v="2"/>
    <x v="1"/>
    <d v="2025-05-28T00:00:00"/>
    <d v="2025-06-23T00:00:00"/>
    <s v="Yes"/>
    <s v="Rejected"/>
    <s v="No"/>
    <s v="No"/>
    <x v="1"/>
    <x v="2"/>
    <s v="Not Applicable"/>
    <n v="50"/>
    <x v="2"/>
  </r>
  <r>
    <s v="DBR0228"/>
    <x v="2"/>
    <x v="4"/>
    <d v="2025-11-24T00:00:00"/>
    <d v="2025-12-13T00:00:00"/>
    <s v="Yes"/>
    <s v="Rejected"/>
    <s v="No"/>
    <s v="No"/>
    <x v="1"/>
    <x v="2"/>
    <s v="Not Applicable"/>
    <n v="34"/>
    <x v="3"/>
  </r>
  <r>
    <s v="DBR0229"/>
    <x v="3"/>
    <x v="2"/>
    <d v="2025-04-13T00:00:00"/>
    <d v="2025-05-15T00:00:00"/>
    <s v="No"/>
    <s v="Deficient"/>
    <s v="Yes"/>
    <s v="Yes"/>
    <x v="0"/>
    <x v="128"/>
    <s v="Paid"/>
    <n v="53"/>
    <x v="1"/>
  </r>
  <r>
    <s v="DBR0230"/>
    <x v="5"/>
    <x v="3"/>
    <d v="2025-12-25T00:00:00"/>
    <d v="2026-01-19T00:00:00"/>
    <s v="Yes"/>
    <s v="Valid"/>
    <s v="No"/>
    <s v="No"/>
    <x v="0"/>
    <x v="129"/>
    <s v="Paid"/>
    <n v="42"/>
    <x v="2"/>
  </r>
  <r>
    <s v="DBR0231"/>
    <x v="2"/>
    <x v="4"/>
    <d v="2025-07-26T00:00:00"/>
    <d v="2025-08-19T00:00:00"/>
    <s v="Yes"/>
    <s v="Rejected"/>
    <s v="No"/>
    <s v="No"/>
    <x v="1"/>
    <x v="2"/>
    <s v="Not Applicable"/>
    <n v="44"/>
    <x v="3"/>
  </r>
  <r>
    <s v="DBR0232"/>
    <x v="5"/>
    <x v="3"/>
    <d v="2025-08-15T00:00:00"/>
    <d v="2025-09-09T00:00:00"/>
    <s v="Yes"/>
    <s v="Deficient"/>
    <s v="Yes"/>
    <s v="Yes"/>
    <x v="0"/>
    <x v="130"/>
    <s v="Paid"/>
    <n v="49"/>
    <x v="3"/>
  </r>
  <r>
    <s v="DBR0233"/>
    <x v="0"/>
    <x v="0"/>
    <d v="2025-03-21T00:00:00"/>
    <d v="2025-05-02T00:00:00"/>
    <s v="No"/>
    <s v="Deficient"/>
    <s v="Yes"/>
    <s v="Yes"/>
    <x v="0"/>
    <x v="131"/>
    <s v="Paid"/>
    <n v="64"/>
    <x v="0"/>
  </r>
  <r>
    <s v="DBR0234"/>
    <x v="1"/>
    <x v="3"/>
    <d v="2025-02-17T00:00:00"/>
    <d v="2025-03-19T00:00:00"/>
    <s v="Yes"/>
    <s v="Deficient"/>
    <s v="Yes"/>
    <s v="No"/>
    <x v="1"/>
    <x v="2"/>
    <s v="Not Applicable"/>
    <n v="38"/>
    <x v="3"/>
  </r>
  <r>
    <s v="DBR0235"/>
    <x v="5"/>
    <x v="4"/>
    <d v="2025-03-25T00:00:00"/>
    <d v="2025-03-28T00:00:00"/>
    <s v="Yes"/>
    <s v="Deficient"/>
    <s v="Yes"/>
    <s v="Yes"/>
    <x v="0"/>
    <x v="132"/>
    <s v="Pending"/>
    <n v="16"/>
    <x v="1"/>
  </r>
  <r>
    <s v="DBR0236"/>
    <x v="5"/>
    <x v="1"/>
    <d v="2025-08-17T00:00:00"/>
    <d v="2025-09-06T00:00:00"/>
    <s v="Yes"/>
    <s v="Rejected"/>
    <s v="No"/>
    <s v="No"/>
    <x v="1"/>
    <x v="2"/>
    <s v="Not Applicable"/>
    <n v="40"/>
    <x v="2"/>
  </r>
  <r>
    <s v="DBR0237"/>
    <x v="0"/>
    <x v="0"/>
    <d v="2025-09-26T00:00:00"/>
    <d v="2025-09-30T00:00:00"/>
    <s v="Yes"/>
    <s v="Rejected"/>
    <s v="No"/>
    <s v="No"/>
    <x v="1"/>
    <x v="2"/>
    <s v="Not Applicable"/>
    <n v="39"/>
    <x v="1"/>
  </r>
  <r>
    <s v="DBR0238"/>
    <x v="2"/>
    <x v="2"/>
    <d v="2025-11-23T00:00:00"/>
    <d v="2025-12-21T00:00:00"/>
    <s v="Yes"/>
    <s v="Deficient"/>
    <s v="Yes"/>
    <s v="Yes"/>
    <x v="0"/>
    <x v="133"/>
    <s v="Paid"/>
    <n v="34"/>
    <x v="1"/>
  </r>
  <r>
    <s v="DBR0239"/>
    <x v="3"/>
    <x v="4"/>
    <d v="2025-01-25T00:00:00"/>
    <d v="2025-02-12T00:00:00"/>
    <s v="Yes"/>
    <s v="Rejected"/>
    <s v="No"/>
    <s v="No"/>
    <x v="1"/>
    <x v="2"/>
    <s v="Not Applicable"/>
    <n v="43"/>
    <x v="0"/>
  </r>
  <r>
    <s v="DBR0240"/>
    <x v="2"/>
    <x v="1"/>
    <d v="2025-06-15T00:00:00"/>
    <d v="2025-07-02T00:00:00"/>
    <s v="Yes"/>
    <s v="Deficient"/>
    <s v="Yes"/>
    <s v="Yes"/>
    <x v="0"/>
    <x v="134"/>
    <s v="Paid"/>
    <n v="32"/>
    <x v="0"/>
  </r>
  <r>
    <s v="DBR0241"/>
    <x v="2"/>
    <x v="2"/>
    <d v="2025-07-11T00:00:00"/>
    <d v="2025-07-14T00:00:00"/>
    <s v="Yes"/>
    <s v="Rejected"/>
    <s v="No"/>
    <s v="No"/>
    <x v="1"/>
    <x v="2"/>
    <s v="Not Applicable"/>
    <n v="10"/>
    <x v="2"/>
  </r>
  <r>
    <s v="DBR0242"/>
    <x v="5"/>
    <x v="2"/>
    <d v="2025-01-17T00:00:00"/>
    <d v="2025-02-09T00:00:00"/>
    <s v="Yes"/>
    <s v="Valid"/>
    <s v="No"/>
    <s v="No"/>
    <x v="0"/>
    <x v="135"/>
    <s v="Paid"/>
    <n v="60"/>
    <x v="1"/>
  </r>
  <r>
    <s v="DBR0243"/>
    <x v="2"/>
    <x v="2"/>
    <d v="2025-01-28T00:00:00"/>
    <d v="2025-02-27T00:00:00"/>
    <s v="Yes"/>
    <s v="Rejected"/>
    <s v="No"/>
    <s v="No"/>
    <x v="1"/>
    <x v="2"/>
    <s v="Not Applicable"/>
    <n v="57"/>
    <x v="2"/>
  </r>
  <r>
    <s v="DBR0244"/>
    <x v="2"/>
    <x v="2"/>
    <d v="2025-08-24T00:00:00"/>
    <d v="2025-09-20T00:00:00"/>
    <s v="Yes"/>
    <s v="Rejected"/>
    <s v="No"/>
    <s v="No"/>
    <x v="1"/>
    <x v="2"/>
    <s v="Not Applicable"/>
    <n v="62"/>
    <x v="1"/>
  </r>
  <r>
    <s v="DBR0245"/>
    <x v="3"/>
    <x v="2"/>
    <d v="2025-12-04T00:00:00"/>
    <d v="2026-01-10T00:00:00"/>
    <s v="No"/>
    <s v="Rejected"/>
    <s v="No"/>
    <s v="No"/>
    <x v="1"/>
    <x v="2"/>
    <s v="Not Applicable"/>
    <n v="48"/>
    <x v="3"/>
  </r>
  <r>
    <s v="DBR0246"/>
    <x v="1"/>
    <x v="1"/>
    <d v="2025-11-09T00:00:00"/>
    <d v="2025-12-10T00:00:00"/>
    <s v="No"/>
    <s v="Deficient"/>
    <s v="Yes"/>
    <s v="Yes"/>
    <x v="0"/>
    <x v="136"/>
    <s v="Paid"/>
    <n v="52"/>
    <x v="0"/>
  </r>
  <r>
    <s v="DBR0247"/>
    <x v="1"/>
    <x v="4"/>
    <d v="2025-01-12T00:00:00"/>
    <d v="2025-02-26T00:00:00"/>
    <s v="No"/>
    <s v="Valid"/>
    <s v="No"/>
    <s v="No"/>
    <x v="0"/>
    <x v="137"/>
    <s v="Paid"/>
    <n v="53"/>
    <x v="3"/>
  </r>
  <r>
    <s v="DBR0248"/>
    <x v="4"/>
    <x v="3"/>
    <d v="2025-04-13T00:00:00"/>
    <d v="2025-04-20T00:00:00"/>
    <s v="Yes"/>
    <s v="Valid"/>
    <s v="No"/>
    <s v="No"/>
    <x v="0"/>
    <x v="138"/>
    <s v="Paid"/>
    <n v="47"/>
    <x v="2"/>
  </r>
  <r>
    <s v="DBR0249"/>
    <x v="1"/>
    <x v="0"/>
    <d v="2025-09-14T00:00:00"/>
    <d v="2025-10-16T00:00:00"/>
    <s v="No"/>
    <s v="Deficient"/>
    <s v="Yes"/>
    <s v="Yes"/>
    <x v="0"/>
    <x v="139"/>
    <s v="Paid"/>
    <n v="68"/>
    <x v="2"/>
  </r>
  <r>
    <s v="DBR0250"/>
    <x v="5"/>
    <x v="1"/>
    <d v="2025-11-26T00:00:00"/>
    <d v="2025-12-04T00:00:00"/>
    <s v="Yes"/>
    <s v="Rejected"/>
    <s v="No"/>
    <s v="No"/>
    <x v="1"/>
    <x v="2"/>
    <s v="Not Applicable"/>
    <n v="14"/>
    <x v="1"/>
  </r>
  <r>
    <s v="DBR0251"/>
    <x v="5"/>
    <x v="1"/>
    <d v="2025-07-11T00:00:00"/>
    <d v="2025-07-16T00:00:00"/>
    <s v="Yes"/>
    <s v="Deficient"/>
    <s v="Yes"/>
    <s v="Yes"/>
    <x v="0"/>
    <x v="140"/>
    <s v="Paid"/>
    <n v="22"/>
    <x v="3"/>
  </r>
  <r>
    <s v="DBR0252"/>
    <x v="3"/>
    <x v="2"/>
    <d v="2025-08-23T00:00:00"/>
    <d v="2025-09-20T00:00:00"/>
    <s v="Yes"/>
    <s v="Deficient"/>
    <s v="Yes"/>
    <s v="Yes"/>
    <x v="0"/>
    <x v="141"/>
    <s v="Pending"/>
    <n v="46"/>
    <x v="2"/>
  </r>
  <r>
    <s v="DBR0253"/>
    <x v="1"/>
    <x v="0"/>
    <d v="2025-01-01T00:00:00"/>
    <d v="2025-01-09T00:00:00"/>
    <s v="Yes"/>
    <s v="Rejected"/>
    <s v="No"/>
    <s v="No"/>
    <x v="1"/>
    <x v="2"/>
    <s v="Not Applicable"/>
    <n v="17"/>
    <x v="2"/>
  </r>
  <r>
    <s v="DBR0254"/>
    <x v="1"/>
    <x v="4"/>
    <d v="2025-03-17T00:00:00"/>
    <d v="2025-04-07T00:00:00"/>
    <s v="Yes"/>
    <s v="Rejected"/>
    <s v="No"/>
    <s v="No"/>
    <x v="1"/>
    <x v="2"/>
    <s v="Not Applicable"/>
    <n v="41"/>
    <x v="1"/>
  </r>
  <r>
    <s v="DBR0255"/>
    <x v="0"/>
    <x v="4"/>
    <d v="2025-07-13T00:00:00"/>
    <d v="2025-08-06T00:00:00"/>
    <s v="Yes"/>
    <s v="Rejected"/>
    <s v="No"/>
    <s v="No"/>
    <x v="1"/>
    <x v="2"/>
    <s v="Not Applicable"/>
    <n v="64"/>
    <x v="3"/>
  </r>
  <r>
    <s v="DBR0256"/>
    <x v="1"/>
    <x v="4"/>
    <d v="2025-09-11T00:00:00"/>
    <d v="2025-10-03T00:00:00"/>
    <s v="Yes"/>
    <s v="Deficient"/>
    <s v="Yes"/>
    <s v="No"/>
    <x v="1"/>
    <x v="2"/>
    <s v="Not Applicable"/>
    <n v="46"/>
    <x v="1"/>
  </r>
  <r>
    <s v="DBR0257"/>
    <x v="5"/>
    <x v="3"/>
    <d v="2025-01-21T00:00:00"/>
    <d v="2025-03-01T00:00:00"/>
    <s v="No"/>
    <s v="Valid"/>
    <s v="No"/>
    <s v="No"/>
    <x v="0"/>
    <x v="142"/>
    <s v="Paid"/>
    <n v="47"/>
    <x v="0"/>
  </r>
  <r>
    <s v="DBR0258"/>
    <x v="0"/>
    <x v="4"/>
    <d v="2025-09-18T00:00:00"/>
    <d v="2025-09-26T00:00:00"/>
    <s v="Yes"/>
    <s v="Valid"/>
    <s v="No"/>
    <s v="No"/>
    <x v="0"/>
    <x v="143"/>
    <s v="Paid"/>
    <n v="13"/>
    <x v="1"/>
  </r>
  <r>
    <s v="DBR0259"/>
    <x v="0"/>
    <x v="4"/>
    <d v="2025-12-11T00:00:00"/>
    <d v="2026-01-22T00:00:00"/>
    <s v="No"/>
    <s v="Deficient"/>
    <s v="Yes"/>
    <s v="Yes"/>
    <x v="0"/>
    <x v="144"/>
    <s v="Paid"/>
    <n v="81"/>
    <x v="2"/>
  </r>
  <r>
    <s v="DBR0260"/>
    <x v="1"/>
    <x v="2"/>
    <d v="2025-05-10T00:00:00"/>
    <d v="2025-05-31T00:00:00"/>
    <s v="Yes"/>
    <s v="Deficient"/>
    <s v="Yes"/>
    <s v="Yes"/>
    <x v="0"/>
    <x v="145"/>
    <s v="Paid"/>
    <n v="34"/>
    <x v="2"/>
  </r>
  <r>
    <s v="DBR0261"/>
    <x v="1"/>
    <x v="2"/>
    <d v="2025-03-25T00:00:00"/>
    <d v="2025-03-26T00:00:00"/>
    <s v="Yes"/>
    <s v="Rejected"/>
    <s v="No"/>
    <s v="No"/>
    <x v="1"/>
    <x v="2"/>
    <s v="Not Applicable"/>
    <n v="36"/>
    <x v="2"/>
  </r>
  <r>
    <s v="DBR0262"/>
    <x v="4"/>
    <x v="3"/>
    <d v="2025-08-08T00:00:00"/>
    <d v="2025-09-14T00:00:00"/>
    <s v="No"/>
    <s v="Deficient"/>
    <s v="Yes"/>
    <s v="Yes"/>
    <x v="0"/>
    <x v="146"/>
    <s v="Pending"/>
    <n v="49"/>
    <x v="1"/>
  </r>
  <r>
    <s v="DBR0263"/>
    <x v="2"/>
    <x v="4"/>
    <d v="2025-06-16T00:00:00"/>
    <d v="2025-07-20T00:00:00"/>
    <s v="No"/>
    <s v="Valid"/>
    <s v="No"/>
    <s v="No"/>
    <x v="0"/>
    <x v="147"/>
    <s v="Paid"/>
    <n v="40"/>
    <x v="3"/>
  </r>
  <r>
    <s v="DBR0264"/>
    <x v="5"/>
    <x v="0"/>
    <d v="2025-01-05T00:00:00"/>
    <d v="2025-01-30T00:00:00"/>
    <s v="Yes"/>
    <s v="Rejected"/>
    <s v="No"/>
    <s v="No"/>
    <x v="1"/>
    <x v="2"/>
    <s v="Not Applicable"/>
    <n v="56"/>
    <x v="2"/>
  </r>
  <r>
    <s v="DBR0265"/>
    <x v="4"/>
    <x v="2"/>
    <d v="2025-12-05T00:00:00"/>
    <d v="2026-01-09T00:00:00"/>
    <s v="No"/>
    <s v="Deficient"/>
    <s v="Yes"/>
    <s v="Yes"/>
    <x v="0"/>
    <x v="148"/>
    <s v="Paid"/>
    <n v="74"/>
    <x v="2"/>
  </r>
  <r>
    <s v="DBR0266"/>
    <x v="0"/>
    <x v="0"/>
    <d v="2025-04-03T00:00:00"/>
    <d v="2025-04-24T00:00:00"/>
    <s v="Yes"/>
    <s v="Valid"/>
    <s v="No"/>
    <s v="No"/>
    <x v="0"/>
    <x v="149"/>
    <s v="Paid"/>
    <n v="28"/>
    <x v="1"/>
  </r>
  <r>
    <s v="DBR0267"/>
    <x v="4"/>
    <x v="0"/>
    <d v="2025-09-12T00:00:00"/>
    <d v="2025-10-25T00:00:00"/>
    <s v="No"/>
    <s v="Deficient"/>
    <s v="Yes"/>
    <s v="Yes"/>
    <x v="0"/>
    <x v="150"/>
    <s v="Paid"/>
    <n v="67"/>
    <x v="0"/>
  </r>
  <r>
    <s v="DBR0268"/>
    <x v="1"/>
    <x v="1"/>
    <d v="2025-06-09T00:00:00"/>
    <d v="2025-06-16T00:00:00"/>
    <s v="Yes"/>
    <s v="Valid"/>
    <s v="No"/>
    <s v="No"/>
    <x v="0"/>
    <x v="151"/>
    <s v="Pending"/>
    <n v="30"/>
    <x v="3"/>
  </r>
  <r>
    <s v="DBR0269"/>
    <x v="0"/>
    <x v="2"/>
    <d v="2025-10-02T00:00:00"/>
    <d v="2025-10-04T00:00:00"/>
    <s v="Yes"/>
    <s v="Deficient"/>
    <s v="Yes"/>
    <s v="Yes"/>
    <x v="0"/>
    <x v="152"/>
    <s v="Paid"/>
    <n v="8"/>
    <x v="1"/>
  </r>
  <r>
    <s v="DBR0270"/>
    <x v="3"/>
    <x v="4"/>
    <d v="2025-07-04T00:00:00"/>
    <d v="2025-07-08T00:00:00"/>
    <s v="Yes"/>
    <s v="Rejected"/>
    <s v="No"/>
    <s v="No"/>
    <x v="1"/>
    <x v="2"/>
    <s v="Not Applicable"/>
    <n v="39"/>
    <x v="2"/>
  </r>
  <r>
    <s v="DBR0271"/>
    <x v="3"/>
    <x v="2"/>
    <d v="2025-08-12T00:00:00"/>
    <d v="2025-08-26T00:00:00"/>
    <s v="Yes"/>
    <s v="Deficient"/>
    <s v="Yes"/>
    <s v="No"/>
    <x v="1"/>
    <x v="2"/>
    <s v="Not Applicable"/>
    <n v="21"/>
    <x v="2"/>
  </r>
  <r>
    <s v="DBR0272"/>
    <x v="4"/>
    <x v="0"/>
    <d v="2025-04-11T00:00:00"/>
    <d v="2025-04-25T00:00:00"/>
    <s v="Yes"/>
    <s v="Rejected"/>
    <s v="No"/>
    <s v="No"/>
    <x v="1"/>
    <x v="2"/>
    <s v="Not Applicable"/>
    <n v="45"/>
    <x v="2"/>
  </r>
  <r>
    <s v="DBR0273"/>
    <x v="4"/>
    <x v="4"/>
    <d v="2025-04-07T00:00:00"/>
    <d v="2025-05-11T00:00:00"/>
    <s v="No"/>
    <s v="Deficient"/>
    <s v="Yes"/>
    <s v="Yes"/>
    <x v="0"/>
    <x v="153"/>
    <s v="Paid"/>
    <n v="72"/>
    <x v="0"/>
  </r>
  <r>
    <s v="DBR0274"/>
    <x v="0"/>
    <x v="3"/>
    <d v="2025-04-24T00:00:00"/>
    <d v="2025-05-11T00:00:00"/>
    <s v="Yes"/>
    <s v="Valid"/>
    <s v="No"/>
    <s v="No"/>
    <x v="0"/>
    <x v="154"/>
    <s v="Paid"/>
    <n v="40"/>
    <x v="3"/>
  </r>
  <r>
    <s v="DBR0275"/>
    <x v="5"/>
    <x v="0"/>
    <d v="2025-11-22T00:00:00"/>
    <d v="2025-12-07T00:00:00"/>
    <s v="Yes"/>
    <s v="Valid"/>
    <s v="No"/>
    <s v="No"/>
    <x v="0"/>
    <x v="155"/>
    <s v="Paid"/>
    <n v="37"/>
    <x v="0"/>
  </r>
  <r>
    <s v="DBR0276"/>
    <x v="2"/>
    <x v="4"/>
    <d v="2025-03-01T00:00:00"/>
    <d v="2025-03-11T00:00:00"/>
    <s v="Yes"/>
    <s v="Deficient"/>
    <s v="Yes"/>
    <s v="Yes"/>
    <x v="0"/>
    <x v="156"/>
    <s v="Paid"/>
    <n v="23"/>
    <x v="3"/>
  </r>
  <r>
    <s v="DBR0277"/>
    <x v="0"/>
    <x v="4"/>
    <d v="2025-10-04T00:00:00"/>
    <d v="2025-10-06T00:00:00"/>
    <s v="Yes"/>
    <s v="Deficient"/>
    <s v="Yes"/>
    <s v="Yes"/>
    <x v="0"/>
    <x v="157"/>
    <s v="Paid"/>
    <n v="15"/>
    <x v="0"/>
  </r>
  <r>
    <s v="DBR0278"/>
    <x v="0"/>
    <x v="0"/>
    <d v="2025-06-26T00:00:00"/>
    <d v="2025-07-03T00:00:00"/>
    <s v="Yes"/>
    <s v="Valid"/>
    <s v="No"/>
    <s v="No"/>
    <x v="0"/>
    <x v="158"/>
    <s v="Paid"/>
    <n v="16"/>
    <x v="3"/>
  </r>
  <r>
    <s v="DBR0279"/>
    <x v="2"/>
    <x v="0"/>
    <d v="2025-09-11T00:00:00"/>
    <d v="2025-09-20T00:00:00"/>
    <s v="Yes"/>
    <s v="Rejected"/>
    <s v="No"/>
    <s v="No"/>
    <x v="1"/>
    <x v="2"/>
    <s v="Not Applicable"/>
    <n v="22"/>
    <x v="2"/>
  </r>
  <r>
    <s v="DBR0280"/>
    <x v="0"/>
    <x v="2"/>
    <d v="2025-10-21T00:00:00"/>
    <d v="2025-10-29T00:00:00"/>
    <s v="Yes"/>
    <s v="Rejected"/>
    <s v="No"/>
    <s v="No"/>
    <x v="1"/>
    <x v="2"/>
    <s v="Not Applicable"/>
    <n v="26"/>
    <x v="1"/>
  </r>
  <r>
    <s v="DBR0281"/>
    <x v="5"/>
    <x v="0"/>
    <d v="2025-02-22T00:00:00"/>
    <d v="2025-03-13T00:00:00"/>
    <s v="Yes"/>
    <s v="Valid"/>
    <s v="No"/>
    <s v="No"/>
    <x v="0"/>
    <x v="159"/>
    <s v="Paid"/>
    <n v="26"/>
    <x v="3"/>
  </r>
  <r>
    <s v="DBR0282"/>
    <x v="1"/>
    <x v="3"/>
    <d v="2025-02-16T00:00:00"/>
    <d v="2025-03-25T00:00:00"/>
    <s v="No"/>
    <s v="Valid"/>
    <s v="No"/>
    <s v="No"/>
    <x v="0"/>
    <x v="160"/>
    <s v="Pending"/>
    <n v="43"/>
    <x v="2"/>
  </r>
  <r>
    <s v="DBR0283"/>
    <x v="2"/>
    <x v="1"/>
    <d v="2025-08-01T00:00:00"/>
    <d v="2025-09-13T00:00:00"/>
    <s v="No"/>
    <s v="Deficient"/>
    <s v="Yes"/>
    <s v="Yes"/>
    <x v="0"/>
    <x v="161"/>
    <s v="Paid"/>
    <n v="54"/>
    <x v="3"/>
  </r>
  <r>
    <s v="DBR0284"/>
    <x v="4"/>
    <x v="0"/>
    <d v="2025-07-02T00:00:00"/>
    <d v="2025-07-14T00:00:00"/>
    <s v="Yes"/>
    <s v="Valid"/>
    <s v="No"/>
    <s v="No"/>
    <x v="0"/>
    <x v="162"/>
    <s v="Paid"/>
    <n v="49"/>
    <x v="2"/>
  </r>
  <r>
    <s v="DBR0285"/>
    <x v="1"/>
    <x v="2"/>
    <d v="2025-03-01T00:00:00"/>
    <d v="2025-03-23T00:00:00"/>
    <s v="Yes"/>
    <s v="Rejected"/>
    <s v="No"/>
    <s v="No"/>
    <x v="1"/>
    <x v="2"/>
    <s v="Not Applicable"/>
    <n v="48"/>
    <x v="2"/>
  </r>
  <r>
    <s v="DBR0286"/>
    <x v="0"/>
    <x v="3"/>
    <d v="2025-09-02T00:00:00"/>
    <d v="2025-10-04T00:00:00"/>
    <s v="No"/>
    <s v="Rejected"/>
    <s v="No"/>
    <s v="No"/>
    <x v="1"/>
    <x v="2"/>
    <s v="Not Applicable"/>
    <n v="39"/>
    <x v="0"/>
  </r>
  <r>
    <s v="DBR0287"/>
    <x v="2"/>
    <x v="3"/>
    <d v="2025-05-19T00:00:00"/>
    <d v="2025-07-02T00:00:00"/>
    <s v="No"/>
    <s v="Deficient"/>
    <s v="Yes"/>
    <s v="Yes"/>
    <x v="0"/>
    <x v="163"/>
    <s v="Paid"/>
    <n v="64"/>
    <x v="3"/>
  </r>
  <r>
    <s v="DBR0288"/>
    <x v="4"/>
    <x v="4"/>
    <d v="2025-08-28T00:00:00"/>
    <d v="2025-09-15T00:00:00"/>
    <s v="Yes"/>
    <s v="Deficient"/>
    <s v="Yes"/>
    <s v="Yes"/>
    <x v="0"/>
    <x v="164"/>
    <s v="Paid"/>
    <n v="49"/>
    <x v="3"/>
  </r>
  <r>
    <s v="DBR0289"/>
    <x v="5"/>
    <x v="2"/>
    <d v="2025-11-19T00:00:00"/>
    <d v="2025-12-16T00:00:00"/>
    <s v="Yes"/>
    <s v="Rejected"/>
    <s v="No"/>
    <s v="No"/>
    <x v="1"/>
    <x v="2"/>
    <s v="Not Applicable"/>
    <n v="47"/>
    <x v="2"/>
  </r>
  <r>
    <s v="DBR0290"/>
    <x v="1"/>
    <x v="2"/>
    <d v="2025-07-28T00:00:00"/>
    <d v="2025-08-12T00:00:00"/>
    <s v="Yes"/>
    <s v="Deficient"/>
    <s v="Yes"/>
    <s v="Yes"/>
    <x v="0"/>
    <x v="165"/>
    <s v="Paid"/>
    <n v="41"/>
    <x v="2"/>
  </r>
  <r>
    <s v="DBR0291"/>
    <x v="2"/>
    <x v="4"/>
    <d v="2025-01-23T00:00:00"/>
    <d v="2025-02-14T00:00:00"/>
    <s v="Yes"/>
    <s v="Valid"/>
    <s v="No"/>
    <s v="No"/>
    <x v="0"/>
    <x v="166"/>
    <s v="Pending"/>
    <n v="31"/>
    <x v="1"/>
  </r>
  <r>
    <s v="DBR0292"/>
    <x v="0"/>
    <x v="1"/>
    <d v="2025-06-28T00:00:00"/>
    <d v="2025-07-28T00:00:00"/>
    <s v="Yes"/>
    <s v="Deficient"/>
    <s v="Yes"/>
    <s v="No"/>
    <x v="1"/>
    <x v="2"/>
    <s v="Not Applicable"/>
    <n v="52"/>
    <x v="2"/>
  </r>
  <r>
    <s v="DBR0293"/>
    <x v="0"/>
    <x v="1"/>
    <d v="2025-01-14T00:00:00"/>
    <d v="2025-02-27T00:00:00"/>
    <s v="No"/>
    <s v="Valid"/>
    <s v="No"/>
    <s v="No"/>
    <x v="0"/>
    <x v="167"/>
    <s v="Paid"/>
    <n v="74"/>
    <x v="0"/>
  </r>
  <r>
    <s v="DBR0294"/>
    <x v="3"/>
    <x v="0"/>
    <d v="2025-10-09T00:00:00"/>
    <d v="2025-11-04T00:00:00"/>
    <s v="Yes"/>
    <s v="Valid"/>
    <s v="No"/>
    <s v="No"/>
    <x v="0"/>
    <x v="168"/>
    <s v="Paid"/>
    <n v="38"/>
    <x v="2"/>
  </r>
  <r>
    <s v="DBR0295"/>
    <x v="5"/>
    <x v="4"/>
    <d v="2025-08-26T00:00:00"/>
    <d v="2025-09-13T00:00:00"/>
    <s v="Yes"/>
    <s v="Valid"/>
    <s v="No"/>
    <s v="No"/>
    <x v="0"/>
    <x v="169"/>
    <s v="Paid"/>
    <n v="47"/>
    <x v="0"/>
  </r>
  <r>
    <s v="DBR0296"/>
    <x v="2"/>
    <x v="0"/>
    <d v="2025-02-20T00:00:00"/>
    <d v="2025-02-27T00:00:00"/>
    <s v="Yes"/>
    <s v="Rejected"/>
    <s v="No"/>
    <s v="No"/>
    <x v="1"/>
    <x v="2"/>
    <s v="Not Applicable"/>
    <n v="26"/>
    <x v="0"/>
  </r>
  <r>
    <s v="DBR0297"/>
    <x v="0"/>
    <x v="0"/>
    <d v="2025-04-07T00:00:00"/>
    <d v="2025-05-09T00:00:00"/>
    <s v="No"/>
    <s v="Deficient"/>
    <s v="Yes"/>
    <s v="Yes"/>
    <x v="0"/>
    <x v="170"/>
    <s v="Paid"/>
    <n v="65"/>
    <x v="1"/>
  </r>
  <r>
    <s v="DBR0298"/>
    <x v="1"/>
    <x v="3"/>
    <d v="2025-02-06T00:00:00"/>
    <d v="2025-02-20T00:00:00"/>
    <s v="Yes"/>
    <s v="Valid"/>
    <s v="No"/>
    <s v="No"/>
    <x v="0"/>
    <x v="171"/>
    <s v="Paid"/>
    <n v="36"/>
    <x v="0"/>
  </r>
  <r>
    <s v="DBR0299"/>
    <x v="1"/>
    <x v="1"/>
    <d v="2025-12-11T00:00:00"/>
    <d v="2026-01-05T00:00:00"/>
    <s v="Yes"/>
    <s v="Deficient"/>
    <s v="Yes"/>
    <s v="Yes"/>
    <x v="0"/>
    <x v="172"/>
    <s v="Paid"/>
    <n v="50"/>
    <x v="0"/>
  </r>
  <r>
    <s v="DBR0300"/>
    <x v="4"/>
    <x v="1"/>
    <d v="2025-06-20T00:00:00"/>
    <d v="2025-07-15T00:00:00"/>
    <s v="Yes"/>
    <s v="Valid"/>
    <s v="No"/>
    <s v="No"/>
    <x v="0"/>
    <x v="173"/>
    <s v="Pending"/>
    <n v="36"/>
    <x v="2"/>
  </r>
  <r>
    <s v="DBR0301"/>
    <x v="5"/>
    <x v="3"/>
    <d v="2025-04-26T00:00:00"/>
    <d v="2025-05-05T00:00:00"/>
    <s v="Yes"/>
    <s v="Rejected"/>
    <s v="No"/>
    <s v="No"/>
    <x v="1"/>
    <x v="2"/>
    <s v="Not Applicable"/>
    <n v="35"/>
    <x v="1"/>
  </r>
  <r>
    <s v="DBR0302"/>
    <x v="2"/>
    <x v="2"/>
    <d v="2025-11-23T00:00:00"/>
    <d v="2025-12-10T00:00:00"/>
    <s v="Yes"/>
    <s v="Deficient"/>
    <s v="Yes"/>
    <s v="Yes"/>
    <x v="0"/>
    <x v="174"/>
    <s v="Paid"/>
    <n v="34"/>
    <x v="1"/>
  </r>
  <r>
    <s v="DBR0303"/>
    <x v="4"/>
    <x v="0"/>
    <d v="2025-12-08T00:00:00"/>
    <d v="2025-12-29T00:00:00"/>
    <s v="Yes"/>
    <s v="Deficient"/>
    <s v="Yes"/>
    <s v="Yes"/>
    <x v="0"/>
    <x v="175"/>
    <s v="Paid"/>
    <n v="44"/>
    <x v="3"/>
  </r>
  <r>
    <s v="DBR0304"/>
    <x v="0"/>
    <x v="4"/>
    <d v="2025-07-20T00:00:00"/>
    <d v="2025-08-19T00:00:00"/>
    <s v="Yes"/>
    <s v="Valid"/>
    <s v="No"/>
    <s v="No"/>
    <x v="0"/>
    <x v="176"/>
    <s v="Paid"/>
    <n v="67"/>
    <x v="0"/>
  </r>
  <r>
    <s v="DBR0305"/>
    <x v="0"/>
    <x v="1"/>
    <d v="2025-12-16T00:00:00"/>
    <d v="2026-01-21T00:00:00"/>
    <s v="No"/>
    <s v="Deficient"/>
    <s v="Yes"/>
    <s v="Yes"/>
    <x v="0"/>
    <x v="177"/>
    <s v="Paid"/>
    <n v="42"/>
    <x v="3"/>
  </r>
  <r>
    <s v="DBR0306"/>
    <x v="1"/>
    <x v="4"/>
    <d v="2025-03-15T00:00:00"/>
    <d v="2025-04-14T00:00:00"/>
    <s v="Yes"/>
    <s v="Rejected"/>
    <s v="No"/>
    <s v="No"/>
    <x v="1"/>
    <x v="2"/>
    <s v="Not Applicable"/>
    <n v="57"/>
    <x v="3"/>
  </r>
  <r>
    <s v="DBR0307"/>
    <x v="5"/>
    <x v="4"/>
    <d v="2025-05-22T00:00:00"/>
    <d v="2025-07-04T00:00:00"/>
    <s v="No"/>
    <s v="Valid"/>
    <s v="No"/>
    <s v="No"/>
    <x v="0"/>
    <x v="178"/>
    <s v="Paid"/>
    <n v="81"/>
    <x v="3"/>
  </r>
  <r>
    <s v="DBR0308"/>
    <x v="4"/>
    <x v="4"/>
    <d v="2025-04-11T00:00:00"/>
    <d v="2025-04-14T00:00:00"/>
    <s v="Yes"/>
    <s v="Deficient"/>
    <s v="Yes"/>
    <s v="Yes"/>
    <x v="0"/>
    <x v="179"/>
    <s v="Pending"/>
    <n v="12"/>
    <x v="1"/>
  </r>
  <r>
    <s v="DBR0309"/>
    <x v="4"/>
    <x v="2"/>
    <d v="2025-04-06T00:00:00"/>
    <d v="2025-05-05T00:00:00"/>
    <s v="Yes"/>
    <s v="Rejected"/>
    <s v="No"/>
    <s v="No"/>
    <x v="1"/>
    <x v="2"/>
    <s v="Not Applicable"/>
    <n v="59"/>
    <x v="2"/>
  </r>
  <r>
    <s v="DBR0310"/>
    <x v="2"/>
    <x v="0"/>
    <d v="2025-10-26T00:00:00"/>
    <d v="2025-11-19T00:00:00"/>
    <s v="Yes"/>
    <s v="Deficient"/>
    <s v="Yes"/>
    <s v="Yes"/>
    <x v="0"/>
    <x v="180"/>
    <s v="Pending"/>
    <n v="35"/>
    <x v="2"/>
  </r>
  <r>
    <s v="DBR0311"/>
    <x v="0"/>
    <x v="1"/>
    <d v="2025-08-04T00:00:00"/>
    <d v="2025-09-06T00:00:00"/>
    <s v="No"/>
    <s v="Valid"/>
    <s v="No"/>
    <s v="No"/>
    <x v="0"/>
    <x v="181"/>
    <s v="Paid"/>
    <n v="63"/>
    <x v="1"/>
  </r>
  <r>
    <s v="DBR0312"/>
    <x v="4"/>
    <x v="0"/>
    <d v="2025-05-01T00:00:00"/>
    <d v="2025-06-09T00:00:00"/>
    <s v="No"/>
    <s v="Valid"/>
    <s v="No"/>
    <s v="No"/>
    <x v="0"/>
    <x v="182"/>
    <s v="Paid"/>
    <n v="58"/>
    <x v="2"/>
  </r>
  <r>
    <s v="DBR0313"/>
    <x v="2"/>
    <x v="0"/>
    <d v="2025-12-11T00:00:00"/>
    <d v="2026-01-02T00:00:00"/>
    <s v="Yes"/>
    <s v="Deficient"/>
    <s v="Yes"/>
    <s v="Yes"/>
    <x v="0"/>
    <x v="183"/>
    <s v="Paid"/>
    <n v="62"/>
    <x v="2"/>
  </r>
  <r>
    <s v="DBR0314"/>
    <x v="5"/>
    <x v="1"/>
    <d v="2025-09-08T00:00:00"/>
    <d v="2025-09-09T00:00:00"/>
    <s v="Yes"/>
    <s v="Deficient"/>
    <s v="Yes"/>
    <s v="Yes"/>
    <x v="0"/>
    <x v="184"/>
    <s v="Paid"/>
    <n v="24"/>
    <x v="2"/>
  </r>
  <r>
    <s v="DBR0315"/>
    <x v="0"/>
    <x v="3"/>
    <d v="2025-12-18T00:00:00"/>
    <d v="2026-01-05T00:00:00"/>
    <s v="Yes"/>
    <s v="Deficient"/>
    <s v="Yes"/>
    <s v="No"/>
    <x v="1"/>
    <x v="2"/>
    <s v="Not Applicable"/>
    <n v="33"/>
    <x v="2"/>
  </r>
  <r>
    <s v="DBR0316"/>
    <x v="4"/>
    <x v="4"/>
    <d v="2025-06-19T00:00:00"/>
    <d v="2025-06-20T00:00:00"/>
    <s v="Yes"/>
    <s v="Valid"/>
    <s v="No"/>
    <s v="No"/>
    <x v="0"/>
    <x v="185"/>
    <s v="Paid"/>
    <n v="38"/>
    <x v="1"/>
  </r>
  <r>
    <s v="DBR0317"/>
    <x v="0"/>
    <x v="4"/>
    <d v="2025-11-26T00:00:00"/>
    <d v="2025-12-21T00:00:00"/>
    <s v="Yes"/>
    <s v="Deficient"/>
    <s v="Yes"/>
    <s v="Yes"/>
    <x v="0"/>
    <x v="186"/>
    <s v="Paid"/>
    <n v="43"/>
    <x v="1"/>
  </r>
  <r>
    <s v="DBR0318"/>
    <x v="5"/>
    <x v="1"/>
    <d v="2025-06-12T00:00:00"/>
    <d v="2025-07-25T00:00:00"/>
    <s v="No"/>
    <s v="Valid"/>
    <s v="No"/>
    <s v="No"/>
    <x v="0"/>
    <x v="187"/>
    <s v="Paid"/>
    <n v="62"/>
    <x v="3"/>
  </r>
  <r>
    <s v="DBR0319"/>
    <x v="2"/>
    <x v="1"/>
    <d v="2025-07-03T00:00:00"/>
    <d v="2025-08-14T00:00:00"/>
    <s v="No"/>
    <s v="Valid"/>
    <s v="No"/>
    <s v="No"/>
    <x v="0"/>
    <x v="188"/>
    <s v="Paid"/>
    <n v="68"/>
    <x v="3"/>
  </r>
  <r>
    <s v="DBR0320"/>
    <x v="0"/>
    <x v="4"/>
    <d v="2025-10-26T00:00:00"/>
    <d v="2025-11-09T00:00:00"/>
    <s v="Yes"/>
    <s v="Valid"/>
    <s v="No"/>
    <s v="No"/>
    <x v="0"/>
    <x v="189"/>
    <s v="Paid"/>
    <n v="43"/>
    <x v="0"/>
  </r>
  <r>
    <s v="DBR0321"/>
    <x v="1"/>
    <x v="2"/>
    <d v="2025-05-26T00:00:00"/>
    <d v="2025-06-12T00:00:00"/>
    <s v="Yes"/>
    <s v="Deficient"/>
    <s v="Yes"/>
    <s v="No"/>
    <x v="1"/>
    <x v="2"/>
    <s v="Not Applicable"/>
    <n v="57"/>
    <x v="3"/>
  </r>
  <r>
    <s v="DBR0322"/>
    <x v="3"/>
    <x v="1"/>
    <d v="2025-05-09T00:00:00"/>
    <d v="2025-05-26T00:00:00"/>
    <s v="Yes"/>
    <s v="Valid"/>
    <s v="No"/>
    <s v="No"/>
    <x v="0"/>
    <x v="190"/>
    <s v="Pending"/>
    <n v="24"/>
    <x v="3"/>
  </r>
  <r>
    <s v="DBR0323"/>
    <x v="2"/>
    <x v="1"/>
    <d v="2025-02-11T00:00:00"/>
    <d v="2025-03-07T00:00:00"/>
    <s v="Yes"/>
    <s v="Valid"/>
    <s v="No"/>
    <s v="No"/>
    <x v="0"/>
    <x v="191"/>
    <s v="Paid"/>
    <n v="55"/>
    <x v="3"/>
  </r>
  <r>
    <s v="DBR0324"/>
    <x v="1"/>
    <x v="1"/>
    <d v="2025-07-13T00:00:00"/>
    <d v="2025-08-25T00:00:00"/>
    <s v="No"/>
    <s v="Valid"/>
    <s v="No"/>
    <s v="No"/>
    <x v="0"/>
    <x v="192"/>
    <s v="Paid"/>
    <n v="82"/>
    <x v="1"/>
  </r>
  <r>
    <s v="DBR0325"/>
    <x v="0"/>
    <x v="4"/>
    <d v="2025-02-20T00:00:00"/>
    <d v="2025-03-22T00:00:00"/>
    <s v="Yes"/>
    <s v="Valid"/>
    <s v="No"/>
    <s v="No"/>
    <x v="0"/>
    <x v="193"/>
    <s v="Paid"/>
    <n v="52"/>
    <x v="3"/>
  </r>
  <r>
    <s v="DBR0326"/>
    <x v="3"/>
    <x v="0"/>
    <d v="2025-07-20T00:00:00"/>
    <d v="2025-07-21T00:00:00"/>
    <s v="Yes"/>
    <s v="Valid"/>
    <s v="No"/>
    <s v="No"/>
    <x v="0"/>
    <x v="194"/>
    <s v="Paid"/>
    <n v="36"/>
    <x v="0"/>
  </r>
  <r>
    <s v="DBR0327"/>
    <x v="1"/>
    <x v="3"/>
    <d v="2025-08-22T00:00:00"/>
    <d v="2025-09-17T00:00:00"/>
    <s v="Yes"/>
    <s v="Deficient"/>
    <s v="Yes"/>
    <s v="No"/>
    <x v="1"/>
    <x v="2"/>
    <s v="Not Applicable"/>
    <n v="63"/>
    <x v="2"/>
  </r>
  <r>
    <s v="DBR0328"/>
    <x v="5"/>
    <x v="4"/>
    <d v="2025-12-11T00:00:00"/>
    <d v="2026-01-13T00:00:00"/>
    <s v="No"/>
    <s v="Valid"/>
    <s v="No"/>
    <s v="No"/>
    <x v="0"/>
    <x v="195"/>
    <s v="Pending"/>
    <n v="48"/>
    <x v="0"/>
  </r>
  <r>
    <s v="DBR0329"/>
    <x v="1"/>
    <x v="3"/>
    <d v="2025-06-09T00:00:00"/>
    <d v="2025-06-28T00:00:00"/>
    <s v="Yes"/>
    <s v="Valid"/>
    <s v="No"/>
    <s v="No"/>
    <x v="0"/>
    <x v="196"/>
    <s v="Pending"/>
    <n v="29"/>
    <x v="2"/>
  </r>
  <r>
    <s v="DBR0330"/>
    <x v="5"/>
    <x v="3"/>
    <d v="2025-08-22T00:00:00"/>
    <d v="2025-09-10T00:00:00"/>
    <s v="Yes"/>
    <s v="Deficient"/>
    <s v="Yes"/>
    <s v="No"/>
    <x v="1"/>
    <x v="2"/>
    <s v="Not Applicable"/>
    <n v="56"/>
    <x v="1"/>
  </r>
  <r>
    <s v="DBR0331"/>
    <x v="1"/>
    <x v="0"/>
    <d v="2025-12-07T00:00:00"/>
    <d v="2025-12-11T00:00:00"/>
    <s v="Yes"/>
    <s v="Valid"/>
    <s v="No"/>
    <s v="No"/>
    <x v="0"/>
    <x v="197"/>
    <s v="Paid"/>
    <n v="39"/>
    <x v="0"/>
  </r>
  <r>
    <s v="DBR0332"/>
    <x v="4"/>
    <x v="4"/>
    <d v="2025-06-09T00:00:00"/>
    <d v="2025-07-19T00:00:00"/>
    <s v="No"/>
    <s v="Rejected"/>
    <s v="No"/>
    <s v="No"/>
    <x v="1"/>
    <x v="2"/>
    <s v="Not Applicable"/>
    <n v="72"/>
    <x v="1"/>
  </r>
  <r>
    <s v="DBR0333"/>
    <x v="0"/>
    <x v="4"/>
    <d v="2025-04-09T00:00:00"/>
    <d v="2025-05-04T00:00:00"/>
    <s v="Yes"/>
    <s v="Deficient"/>
    <s v="Yes"/>
    <s v="Yes"/>
    <x v="0"/>
    <x v="198"/>
    <s v="Paid"/>
    <n v="62"/>
    <x v="0"/>
  </r>
  <r>
    <s v="DBR0334"/>
    <x v="0"/>
    <x v="0"/>
    <d v="2025-03-28T00:00:00"/>
    <d v="2025-04-17T00:00:00"/>
    <s v="Yes"/>
    <s v="Rejected"/>
    <s v="No"/>
    <s v="No"/>
    <x v="1"/>
    <x v="2"/>
    <s v="Not Applicable"/>
    <n v="43"/>
    <x v="3"/>
  </r>
  <r>
    <s v="DBR0335"/>
    <x v="2"/>
    <x v="4"/>
    <d v="2025-03-24T00:00:00"/>
    <d v="2025-04-25T00:00:00"/>
    <s v="No"/>
    <s v="Valid"/>
    <s v="No"/>
    <s v="No"/>
    <x v="0"/>
    <x v="199"/>
    <s v="Paid"/>
    <n v="43"/>
    <x v="1"/>
  </r>
  <r>
    <s v="DBR0336"/>
    <x v="2"/>
    <x v="2"/>
    <d v="2025-10-08T00:00:00"/>
    <d v="2025-10-24T00:00:00"/>
    <s v="Yes"/>
    <s v="Rejected"/>
    <s v="No"/>
    <s v="No"/>
    <x v="1"/>
    <x v="2"/>
    <s v="Not Applicable"/>
    <n v="32"/>
    <x v="0"/>
  </r>
  <r>
    <s v="DBR0337"/>
    <x v="5"/>
    <x v="4"/>
    <d v="2025-07-08T00:00:00"/>
    <d v="2025-07-10T00:00:00"/>
    <s v="Yes"/>
    <s v="Rejected"/>
    <s v="No"/>
    <s v="No"/>
    <x v="1"/>
    <x v="2"/>
    <s v="Not Applicable"/>
    <n v="39"/>
    <x v="2"/>
  </r>
  <r>
    <s v="DBR0338"/>
    <x v="0"/>
    <x v="2"/>
    <d v="2025-04-04T00:00:00"/>
    <d v="2025-04-11T00:00:00"/>
    <s v="Yes"/>
    <s v="Deficient"/>
    <s v="Yes"/>
    <s v="No"/>
    <x v="1"/>
    <x v="2"/>
    <s v="Not Applicable"/>
    <n v="20"/>
    <x v="1"/>
  </r>
  <r>
    <s v="DBR0339"/>
    <x v="4"/>
    <x v="3"/>
    <d v="2025-01-26T00:00:00"/>
    <d v="2025-02-27T00:00:00"/>
    <s v="No"/>
    <s v="Deficient"/>
    <s v="Yes"/>
    <s v="Yes"/>
    <x v="0"/>
    <x v="200"/>
    <s v="Paid"/>
    <n v="64"/>
    <x v="2"/>
  </r>
  <r>
    <s v="DBR0340"/>
    <x v="0"/>
    <x v="4"/>
    <d v="2025-12-07T00:00:00"/>
    <d v="2025-12-11T00:00:00"/>
    <s v="Yes"/>
    <s v="Rejected"/>
    <s v="No"/>
    <s v="No"/>
    <x v="1"/>
    <x v="2"/>
    <s v="Not Applicable"/>
    <n v="22"/>
    <x v="3"/>
  </r>
  <r>
    <s v="DBR0341"/>
    <x v="1"/>
    <x v="0"/>
    <d v="2025-02-05T00:00:00"/>
    <d v="2025-03-11T00:00:00"/>
    <s v="No"/>
    <s v="Deficient"/>
    <s v="Yes"/>
    <s v="No"/>
    <x v="1"/>
    <x v="2"/>
    <s v="Not Applicable"/>
    <n v="72"/>
    <x v="1"/>
  </r>
  <r>
    <s v="DBR0342"/>
    <x v="2"/>
    <x v="3"/>
    <d v="2025-11-18T00:00:00"/>
    <d v="2025-12-28T00:00:00"/>
    <s v="No"/>
    <s v="Valid"/>
    <s v="No"/>
    <s v="No"/>
    <x v="0"/>
    <x v="201"/>
    <s v="Pending"/>
    <n v="68"/>
    <x v="2"/>
  </r>
  <r>
    <s v="DBR0343"/>
    <x v="1"/>
    <x v="4"/>
    <d v="2025-02-28T00:00:00"/>
    <d v="2025-04-06T00:00:00"/>
    <s v="No"/>
    <s v="Rejected"/>
    <s v="No"/>
    <s v="No"/>
    <x v="1"/>
    <x v="2"/>
    <s v="Not Applicable"/>
    <n v="59"/>
    <x v="3"/>
  </r>
  <r>
    <s v="DBR0344"/>
    <x v="4"/>
    <x v="1"/>
    <d v="2025-12-03T00:00:00"/>
    <d v="2025-12-25T00:00:00"/>
    <s v="Yes"/>
    <s v="Valid"/>
    <s v="No"/>
    <s v="No"/>
    <x v="0"/>
    <x v="202"/>
    <s v="Paid"/>
    <n v="28"/>
    <x v="3"/>
  </r>
  <r>
    <s v="DBR0345"/>
    <x v="2"/>
    <x v="0"/>
    <d v="2025-05-11T00:00:00"/>
    <d v="2025-05-12T00:00:00"/>
    <s v="Yes"/>
    <s v="Rejected"/>
    <s v="No"/>
    <s v="No"/>
    <x v="1"/>
    <x v="2"/>
    <s v="Not Applicable"/>
    <n v="23"/>
    <x v="1"/>
  </r>
  <r>
    <s v="DBR0346"/>
    <x v="4"/>
    <x v="0"/>
    <d v="2025-03-19T00:00:00"/>
    <d v="2025-04-19T00:00:00"/>
    <s v="No"/>
    <s v="Rejected"/>
    <s v="No"/>
    <s v="No"/>
    <x v="1"/>
    <x v="2"/>
    <s v="Not Applicable"/>
    <n v="55"/>
    <x v="0"/>
  </r>
  <r>
    <s v="DBR0347"/>
    <x v="0"/>
    <x v="2"/>
    <d v="2025-09-12T00:00:00"/>
    <d v="2025-10-15T00:00:00"/>
    <s v="No"/>
    <s v="Deficient"/>
    <s v="Yes"/>
    <s v="No"/>
    <x v="1"/>
    <x v="2"/>
    <s v="Not Applicable"/>
    <n v="71"/>
    <x v="1"/>
  </r>
  <r>
    <s v="DBR0348"/>
    <x v="3"/>
    <x v="1"/>
    <d v="2025-05-21T00:00:00"/>
    <d v="2025-06-17T00:00:00"/>
    <s v="Yes"/>
    <s v="Deficient"/>
    <s v="Yes"/>
    <s v="Yes"/>
    <x v="0"/>
    <x v="203"/>
    <s v="Paid"/>
    <n v="41"/>
    <x v="0"/>
  </r>
  <r>
    <s v="DBR0349"/>
    <x v="3"/>
    <x v="0"/>
    <d v="2025-01-07T00:00:00"/>
    <d v="2025-02-12T00:00:00"/>
    <s v="No"/>
    <s v="Deficient"/>
    <s v="Yes"/>
    <s v="Yes"/>
    <x v="0"/>
    <x v="204"/>
    <s v="Pending"/>
    <n v="56"/>
    <x v="2"/>
  </r>
  <r>
    <s v="DBR0350"/>
    <x v="4"/>
    <x v="0"/>
    <d v="2025-06-21T00:00:00"/>
    <d v="2025-07-03T00:00:00"/>
    <s v="Yes"/>
    <s v="Rejected"/>
    <s v="No"/>
    <s v="No"/>
    <x v="1"/>
    <x v="2"/>
    <s v="Not Applicable"/>
    <n v="27"/>
    <x v="2"/>
  </r>
  <r>
    <s v="DBR0351"/>
    <x v="2"/>
    <x v="4"/>
    <d v="2025-05-20T00:00:00"/>
    <d v="2025-06-20T00:00:00"/>
    <s v="No"/>
    <s v="Valid"/>
    <s v="No"/>
    <s v="No"/>
    <x v="0"/>
    <x v="205"/>
    <s v="Pending"/>
    <n v="58"/>
    <x v="2"/>
  </r>
  <r>
    <s v="DBR0352"/>
    <x v="2"/>
    <x v="4"/>
    <d v="2025-02-17T00:00:00"/>
    <d v="2025-03-17T00:00:00"/>
    <s v="Yes"/>
    <s v="Rejected"/>
    <s v="No"/>
    <s v="No"/>
    <x v="1"/>
    <x v="2"/>
    <s v="Not Applicable"/>
    <n v="61"/>
    <x v="0"/>
  </r>
  <r>
    <s v="DBR0353"/>
    <x v="4"/>
    <x v="4"/>
    <d v="2025-12-05T00:00:00"/>
    <d v="2025-12-30T00:00:00"/>
    <s v="Yes"/>
    <s v="Valid"/>
    <s v="No"/>
    <s v="No"/>
    <x v="0"/>
    <x v="206"/>
    <s v="Pending"/>
    <n v="56"/>
    <x v="0"/>
  </r>
  <r>
    <s v="DBR0354"/>
    <x v="2"/>
    <x v="4"/>
    <d v="2025-01-16T00:00:00"/>
    <d v="2025-02-02T00:00:00"/>
    <s v="Yes"/>
    <s v="Valid"/>
    <s v="No"/>
    <s v="No"/>
    <x v="0"/>
    <x v="207"/>
    <s v="Paid"/>
    <n v="44"/>
    <x v="2"/>
  </r>
  <r>
    <s v="DBR0355"/>
    <x v="4"/>
    <x v="2"/>
    <d v="2025-07-08T00:00:00"/>
    <d v="2025-07-14T00:00:00"/>
    <s v="Yes"/>
    <s v="Deficient"/>
    <s v="Yes"/>
    <s v="No"/>
    <x v="1"/>
    <x v="2"/>
    <s v="Not Applicable"/>
    <n v="45"/>
    <x v="2"/>
  </r>
  <r>
    <s v="DBR0356"/>
    <x v="1"/>
    <x v="2"/>
    <d v="2025-01-26T00:00:00"/>
    <d v="2025-02-20T00:00:00"/>
    <s v="Yes"/>
    <s v="Rejected"/>
    <s v="No"/>
    <s v="No"/>
    <x v="1"/>
    <x v="2"/>
    <s v="Not Applicable"/>
    <n v="37"/>
    <x v="1"/>
  </r>
  <r>
    <s v="DBR0357"/>
    <x v="1"/>
    <x v="4"/>
    <d v="2025-10-20T00:00:00"/>
    <d v="2025-11-18T00:00:00"/>
    <s v="Yes"/>
    <s v="Deficient"/>
    <s v="Yes"/>
    <s v="Yes"/>
    <x v="0"/>
    <x v="208"/>
    <s v="Paid"/>
    <n v="69"/>
    <x v="2"/>
  </r>
  <r>
    <s v="DBR0358"/>
    <x v="3"/>
    <x v="3"/>
    <d v="2025-04-27T00:00:00"/>
    <d v="2025-05-25T00:00:00"/>
    <s v="Yes"/>
    <s v="Deficient"/>
    <s v="Yes"/>
    <s v="No"/>
    <x v="1"/>
    <x v="2"/>
    <s v="Not Applicable"/>
    <n v="65"/>
    <x v="2"/>
  </r>
  <r>
    <s v="DBR0359"/>
    <x v="2"/>
    <x v="0"/>
    <d v="2025-06-25T00:00:00"/>
    <d v="2025-08-09T00:00:00"/>
    <s v="No"/>
    <s v="Deficient"/>
    <s v="Yes"/>
    <s v="Yes"/>
    <x v="0"/>
    <x v="209"/>
    <s v="Paid"/>
    <n v="80"/>
    <x v="3"/>
  </r>
  <r>
    <s v="DBR0360"/>
    <x v="1"/>
    <x v="1"/>
    <d v="2025-03-11T00:00:00"/>
    <d v="2025-04-10T00:00:00"/>
    <s v="Yes"/>
    <s v="Rejected"/>
    <s v="No"/>
    <s v="No"/>
    <x v="1"/>
    <x v="2"/>
    <s v="Not Applicable"/>
    <n v="68"/>
    <x v="2"/>
  </r>
  <r>
    <s v="DBR0361"/>
    <x v="2"/>
    <x v="0"/>
    <d v="2025-07-13T00:00:00"/>
    <d v="2025-07-23T00:00:00"/>
    <s v="Yes"/>
    <s v="Deficient"/>
    <s v="Yes"/>
    <s v="Yes"/>
    <x v="0"/>
    <x v="210"/>
    <s v="Paid"/>
    <n v="40"/>
    <x v="2"/>
  </r>
  <r>
    <s v="DBR0362"/>
    <x v="3"/>
    <x v="4"/>
    <d v="2025-01-19T00:00:00"/>
    <d v="2025-02-27T00:00:00"/>
    <s v="No"/>
    <s v="Valid"/>
    <s v="No"/>
    <s v="No"/>
    <x v="0"/>
    <x v="211"/>
    <s v="Paid"/>
    <n v="56"/>
    <x v="2"/>
  </r>
  <r>
    <s v="DBR0363"/>
    <x v="0"/>
    <x v="4"/>
    <d v="2025-02-07T00:00:00"/>
    <d v="2025-02-28T00:00:00"/>
    <s v="Yes"/>
    <s v="Deficient"/>
    <s v="Yes"/>
    <s v="Yes"/>
    <x v="0"/>
    <x v="212"/>
    <s v="Paid"/>
    <n v="49"/>
    <x v="1"/>
  </r>
  <r>
    <s v="DBR0364"/>
    <x v="5"/>
    <x v="0"/>
    <d v="2025-07-08T00:00:00"/>
    <d v="2025-07-23T00:00:00"/>
    <s v="Yes"/>
    <s v="Valid"/>
    <s v="No"/>
    <s v="No"/>
    <x v="0"/>
    <x v="213"/>
    <s v="Paid"/>
    <n v="37"/>
    <x v="0"/>
  </r>
  <r>
    <s v="DBR0365"/>
    <x v="0"/>
    <x v="0"/>
    <d v="2025-10-23T00:00:00"/>
    <d v="2025-11-22T00:00:00"/>
    <s v="Yes"/>
    <s v="Rejected"/>
    <s v="No"/>
    <s v="No"/>
    <x v="1"/>
    <x v="2"/>
    <s v="Not Applicable"/>
    <n v="65"/>
    <x v="0"/>
  </r>
  <r>
    <s v="DBR0366"/>
    <x v="3"/>
    <x v="3"/>
    <d v="2025-03-25T00:00:00"/>
    <d v="2025-05-05T00:00:00"/>
    <s v="No"/>
    <s v="Deficient"/>
    <s v="Yes"/>
    <s v="Yes"/>
    <x v="0"/>
    <x v="214"/>
    <s v="Paid"/>
    <n v="49"/>
    <x v="3"/>
  </r>
  <r>
    <s v="DBR0367"/>
    <x v="2"/>
    <x v="4"/>
    <d v="2025-04-19T00:00:00"/>
    <d v="2025-04-25T00:00:00"/>
    <s v="Yes"/>
    <s v="Rejected"/>
    <s v="No"/>
    <s v="No"/>
    <x v="1"/>
    <x v="2"/>
    <s v="Not Applicable"/>
    <n v="13"/>
    <x v="1"/>
  </r>
  <r>
    <s v="DBR0368"/>
    <x v="1"/>
    <x v="0"/>
    <d v="2025-01-11T00:00:00"/>
    <d v="2025-01-24T00:00:00"/>
    <s v="Yes"/>
    <s v="Deficient"/>
    <s v="Yes"/>
    <s v="No"/>
    <x v="1"/>
    <x v="2"/>
    <s v="Not Applicable"/>
    <n v="39"/>
    <x v="1"/>
  </r>
  <r>
    <s v="DBR0369"/>
    <x v="4"/>
    <x v="1"/>
    <d v="2025-11-05T00:00:00"/>
    <d v="2025-12-02T00:00:00"/>
    <s v="Yes"/>
    <s v="Deficient"/>
    <s v="Yes"/>
    <s v="Yes"/>
    <x v="0"/>
    <x v="215"/>
    <s v="Paid"/>
    <n v="34"/>
    <x v="0"/>
  </r>
  <r>
    <s v="DBR0370"/>
    <x v="3"/>
    <x v="4"/>
    <d v="2025-12-19T00:00:00"/>
    <d v="2026-01-02T00:00:00"/>
    <s v="Yes"/>
    <s v="Rejected"/>
    <s v="No"/>
    <s v="No"/>
    <x v="1"/>
    <x v="2"/>
    <s v="Not Applicable"/>
    <n v="37"/>
    <x v="0"/>
  </r>
  <r>
    <s v="DBR0371"/>
    <x v="0"/>
    <x v="0"/>
    <d v="2025-05-08T00:00:00"/>
    <d v="2025-05-28T00:00:00"/>
    <s v="Yes"/>
    <s v="Valid"/>
    <s v="No"/>
    <s v="No"/>
    <x v="0"/>
    <x v="216"/>
    <s v="Paid"/>
    <n v="25"/>
    <x v="2"/>
  </r>
  <r>
    <s v="DBR0372"/>
    <x v="1"/>
    <x v="3"/>
    <d v="2025-12-24T00:00:00"/>
    <d v="2026-01-17T00:00:00"/>
    <s v="Yes"/>
    <s v="Valid"/>
    <s v="No"/>
    <s v="No"/>
    <x v="0"/>
    <x v="217"/>
    <s v="Pending"/>
    <n v="35"/>
    <x v="0"/>
  </r>
  <r>
    <s v="DBR0373"/>
    <x v="1"/>
    <x v="3"/>
    <d v="2025-11-18T00:00:00"/>
    <d v="2025-12-07T00:00:00"/>
    <s v="Yes"/>
    <s v="Rejected"/>
    <s v="No"/>
    <s v="No"/>
    <x v="1"/>
    <x v="2"/>
    <s v="Not Applicable"/>
    <n v="40"/>
    <x v="2"/>
  </r>
  <r>
    <s v="DBR0374"/>
    <x v="2"/>
    <x v="0"/>
    <d v="2025-01-15T00:00:00"/>
    <d v="2025-02-13T00:00:00"/>
    <s v="Yes"/>
    <s v="Rejected"/>
    <s v="No"/>
    <s v="No"/>
    <x v="1"/>
    <x v="2"/>
    <s v="Not Applicable"/>
    <n v="49"/>
    <x v="1"/>
  </r>
  <r>
    <s v="DBR0375"/>
    <x v="5"/>
    <x v="4"/>
    <d v="2025-10-24T00:00:00"/>
    <d v="2025-12-05T00:00:00"/>
    <s v="No"/>
    <s v="Valid"/>
    <s v="No"/>
    <s v="No"/>
    <x v="0"/>
    <x v="218"/>
    <s v="Paid"/>
    <n v="61"/>
    <x v="0"/>
  </r>
  <r>
    <s v="DBR0376"/>
    <x v="4"/>
    <x v="2"/>
    <d v="2025-11-17T00:00:00"/>
    <d v="2025-11-18T00:00:00"/>
    <s v="Yes"/>
    <s v="Deficient"/>
    <s v="Yes"/>
    <s v="Yes"/>
    <x v="0"/>
    <x v="219"/>
    <s v="Pending"/>
    <n v="20"/>
    <x v="3"/>
  </r>
  <r>
    <s v="DBR0377"/>
    <x v="4"/>
    <x v="2"/>
    <d v="2025-10-11T00:00:00"/>
    <d v="2025-11-07T00:00:00"/>
    <s v="Yes"/>
    <s v="Rejected"/>
    <s v="No"/>
    <s v="No"/>
    <x v="1"/>
    <x v="2"/>
    <s v="Not Applicable"/>
    <n v="62"/>
    <x v="0"/>
  </r>
  <r>
    <s v="DBR0378"/>
    <x v="1"/>
    <x v="3"/>
    <d v="2025-03-27T00:00:00"/>
    <d v="2025-04-21T00:00:00"/>
    <s v="Yes"/>
    <s v="Deficient"/>
    <s v="Yes"/>
    <s v="Yes"/>
    <x v="0"/>
    <x v="220"/>
    <s v="Paid"/>
    <n v="36"/>
    <x v="1"/>
  </r>
  <r>
    <s v="DBR0379"/>
    <x v="0"/>
    <x v="3"/>
    <d v="2025-05-08T00:00:00"/>
    <d v="2025-06-06T00:00:00"/>
    <s v="Yes"/>
    <s v="Deficient"/>
    <s v="Yes"/>
    <s v="Yes"/>
    <x v="0"/>
    <x v="221"/>
    <s v="Paid"/>
    <n v="59"/>
    <x v="1"/>
  </r>
  <r>
    <s v="DBR0380"/>
    <x v="0"/>
    <x v="2"/>
    <d v="2025-10-01T00:00:00"/>
    <d v="2025-10-13T00:00:00"/>
    <s v="Yes"/>
    <s v="Valid"/>
    <s v="No"/>
    <s v="No"/>
    <x v="0"/>
    <x v="222"/>
    <s v="Paid"/>
    <n v="49"/>
    <x v="0"/>
  </r>
  <r>
    <s v="DBR0381"/>
    <x v="0"/>
    <x v="0"/>
    <d v="2025-08-08T00:00:00"/>
    <d v="2025-08-29T00:00:00"/>
    <s v="Yes"/>
    <s v="Rejected"/>
    <s v="No"/>
    <s v="No"/>
    <x v="1"/>
    <x v="2"/>
    <s v="Not Applicable"/>
    <n v="29"/>
    <x v="2"/>
  </r>
  <r>
    <s v="DBR0382"/>
    <x v="4"/>
    <x v="3"/>
    <d v="2025-04-11T00:00:00"/>
    <d v="2025-05-10T00:00:00"/>
    <s v="Yes"/>
    <s v="Deficient"/>
    <s v="Yes"/>
    <s v="Yes"/>
    <x v="0"/>
    <x v="223"/>
    <s v="Paid"/>
    <n v="69"/>
    <x v="1"/>
  </r>
  <r>
    <s v="DBR0383"/>
    <x v="5"/>
    <x v="1"/>
    <d v="2025-05-24T00:00:00"/>
    <d v="2025-06-11T00:00:00"/>
    <s v="Yes"/>
    <s v="Valid"/>
    <s v="No"/>
    <s v="No"/>
    <x v="0"/>
    <x v="224"/>
    <s v="Paid"/>
    <n v="47"/>
    <x v="3"/>
  </r>
  <r>
    <s v="DBR0384"/>
    <x v="3"/>
    <x v="2"/>
    <d v="2025-01-21T00:00:00"/>
    <d v="2025-01-29T00:00:00"/>
    <s v="Yes"/>
    <s v="Valid"/>
    <s v="No"/>
    <s v="No"/>
    <x v="0"/>
    <x v="225"/>
    <s v="Pending"/>
    <n v="40"/>
    <x v="1"/>
  </r>
  <r>
    <s v="DBR0385"/>
    <x v="0"/>
    <x v="0"/>
    <d v="2025-05-21T00:00:00"/>
    <d v="2025-05-27T00:00:00"/>
    <s v="Yes"/>
    <s v="Valid"/>
    <s v="No"/>
    <s v="No"/>
    <x v="0"/>
    <x v="226"/>
    <s v="Pending"/>
    <n v="44"/>
    <x v="3"/>
  </r>
  <r>
    <s v="DBR0386"/>
    <x v="1"/>
    <x v="2"/>
    <d v="2025-02-26T00:00:00"/>
    <d v="2025-02-28T00:00:00"/>
    <s v="Yes"/>
    <s v="Valid"/>
    <s v="No"/>
    <s v="No"/>
    <x v="0"/>
    <x v="227"/>
    <s v="Paid"/>
    <n v="35"/>
    <x v="0"/>
  </r>
  <r>
    <s v="DBR0387"/>
    <x v="4"/>
    <x v="2"/>
    <d v="2025-04-26T00:00:00"/>
    <d v="2025-05-02T00:00:00"/>
    <s v="Yes"/>
    <s v="Valid"/>
    <s v="No"/>
    <s v="No"/>
    <x v="0"/>
    <x v="228"/>
    <s v="Pending"/>
    <n v="32"/>
    <x v="1"/>
  </r>
  <r>
    <s v="DBR0388"/>
    <x v="1"/>
    <x v="4"/>
    <d v="2025-07-26T00:00:00"/>
    <d v="2025-08-17T00:00:00"/>
    <s v="Yes"/>
    <s v="Rejected"/>
    <s v="No"/>
    <s v="No"/>
    <x v="1"/>
    <x v="2"/>
    <s v="Not Applicable"/>
    <n v="35"/>
    <x v="2"/>
  </r>
  <r>
    <s v="DBR0389"/>
    <x v="2"/>
    <x v="4"/>
    <d v="2025-04-22T00:00:00"/>
    <d v="2025-05-23T00:00:00"/>
    <s v="No"/>
    <s v="Rejected"/>
    <s v="No"/>
    <s v="No"/>
    <x v="1"/>
    <x v="2"/>
    <s v="Not Applicable"/>
    <n v="66"/>
    <x v="3"/>
  </r>
  <r>
    <s v="DBR0390"/>
    <x v="2"/>
    <x v="2"/>
    <d v="2025-02-18T00:00:00"/>
    <d v="2025-03-24T00:00:00"/>
    <s v="No"/>
    <s v="Deficient"/>
    <s v="Yes"/>
    <s v="Yes"/>
    <x v="0"/>
    <x v="229"/>
    <s v="Paid"/>
    <n v="64"/>
    <x v="0"/>
  </r>
  <r>
    <s v="DBR0391"/>
    <x v="4"/>
    <x v="2"/>
    <d v="2025-02-15T00:00:00"/>
    <d v="2025-02-19T00:00:00"/>
    <s v="Yes"/>
    <s v="Rejected"/>
    <s v="No"/>
    <s v="No"/>
    <x v="1"/>
    <x v="2"/>
    <s v="Not Applicable"/>
    <n v="11"/>
    <x v="3"/>
  </r>
  <r>
    <s v="DBR0392"/>
    <x v="3"/>
    <x v="3"/>
    <d v="2025-11-06T00:00:00"/>
    <d v="2025-12-20T00:00:00"/>
    <s v="No"/>
    <s v="Valid"/>
    <s v="No"/>
    <s v="No"/>
    <x v="0"/>
    <x v="230"/>
    <s v="Paid"/>
    <n v="70"/>
    <x v="3"/>
  </r>
  <r>
    <s v="DBR0393"/>
    <x v="0"/>
    <x v="4"/>
    <d v="2025-12-01T00:00:00"/>
    <d v="2025-12-27T00:00:00"/>
    <s v="Yes"/>
    <s v="Deficient"/>
    <s v="Yes"/>
    <s v="Yes"/>
    <x v="0"/>
    <x v="231"/>
    <s v="Pending"/>
    <n v="66"/>
    <x v="0"/>
  </r>
  <r>
    <s v="DBR0394"/>
    <x v="3"/>
    <x v="1"/>
    <d v="2025-12-14T00:00:00"/>
    <d v="2025-12-31T00:00:00"/>
    <s v="Yes"/>
    <s v="Deficient"/>
    <s v="Yes"/>
    <s v="Yes"/>
    <x v="0"/>
    <x v="232"/>
    <s v="Paid"/>
    <n v="47"/>
    <x v="1"/>
  </r>
  <r>
    <s v="DBR0395"/>
    <x v="2"/>
    <x v="2"/>
    <d v="2025-11-04T00:00:00"/>
    <d v="2025-12-02T00:00:00"/>
    <s v="Yes"/>
    <s v="Rejected"/>
    <s v="No"/>
    <s v="No"/>
    <x v="1"/>
    <x v="2"/>
    <s v="Not Applicable"/>
    <n v="33"/>
    <x v="0"/>
  </r>
  <r>
    <s v="DBR0396"/>
    <x v="4"/>
    <x v="0"/>
    <d v="2025-03-28T00:00:00"/>
    <d v="2025-04-28T00:00:00"/>
    <s v="No"/>
    <s v="Valid"/>
    <s v="No"/>
    <s v="No"/>
    <x v="0"/>
    <x v="233"/>
    <s v="Paid"/>
    <n v="71"/>
    <x v="2"/>
  </r>
  <r>
    <s v="DBR0397"/>
    <x v="4"/>
    <x v="1"/>
    <d v="2025-07-10T00:00:00"/>
    <d v="2025-08-11T00:00:00"/>
    <s v="No"/>
    <s v="Rejected"/>
    <s v="No"/>
    <s v="No"/>
    <x v="1"/>
    <x v="2"/>
    <s v="Not Applicable"/>
    <n v="61"/>
    <x v="1"/>
  </r>
  <r>
    <s v="DBR0398"/>
    <x v="5"/>
    <x v="0"/>
    <d v="2025-11-27T00:00:00"/>
    <d v="2025-12-09T00:00:00"/>
    <s v="Yes"/>
    <s v="Valid"/>
    <s v="No"/>
    <s v="No"/>
    <x v="0"/>
    <x v="234"/>
    <s v="Pending"/>
    <n v="40"/>
    <x v="2"/>
  </r>
  <r>
    <s v="DBR0399"/>
    <x v="2"/>
    <x v="4"/>
    <d v="2025-06-03T00:00:00"/>
    <d v="2025-07-01T00:00:00"/>
    <s v="Yes"/>
    <s v="Deficient"/>
    <s v="Yes"/>
    <s v="Yes"/>
    <x v="0"/>
    <x v="235"/>
    <s v="Pending"/>
    <n v="56"/>
    <x v="0"/>
  </r>
  <r>
    <s v="DBR0400"/>
    <x v="2"/>
    <x v="4"/>
    <d v="2025-09-01T00:00:00"/>
    <d v="2025-09-26T00:00:00"/>
    <s v="Yes"/>
    <s v="Valid"/>
    <s v="No"/>
    <s v="No"/>
    <x v="0"/>
    <x v="236"/>
    <s v="Paid"/>
    <n v="55"/>
    <x v="3"/>
  </r>
  <r>
    <s v="DBR0401"/>
    <x v="1"/>
    <x v="0"/>
    <d v="2025-11-28T00:00:00"/>
    <d v="2025-12-25T00:00:00"/>
    <s v="Yes"/>
    <s v="Valid"/>
    <s v="No"/>
    <s v="No"/>
    <x v="0"/>
    <x v="237"/>
    <s v="Paid"/>
    <n v="67"/>
    <x v="2"/>
  </r>
  <r>
    <s v="DBR0402"/>
    <x v="2"/>
    <x v="3"/>
    <d v="2025-04-05T00:00:00"/>
    <d v="2025-05-11T00:00:00"/>
    <s v="No"/>
    <s v="Rejected"/>
    <s v="No"/>
    <s v="No"/>
    <x v="1"/>
    <x v="2"/>
    <s v="Not Applicable"/>
    <n v="58"/>
    <x v="0"/>
  </r>
  <r>
    <s v="DBR0403"/>
    <x v="3"/>
    <x v="3"/>
    <d v="2025-10-17T00:00:00"/>
    <d v="2025-11-24T00:00:00"/>
    <s v="No"/>
    <s v="Valid"/>
    <s v="No"/>
    <s v="No"/>
    <x v="0"/>
    <x v="238"/>
    <s v="Paid"/>
    <n v="60"/>
    <x v="2"/>
  </r>
  <r>
    <s v="DBR0404"/>
    <x v="0"/>
    <x v="4"/>
    <d v="2025-05-11T00:00:00"/>
    <d v="2025-05-22T00:00:00"/>
    <s v="Yes"/>
    <s v="Deficient"/>
    <s v="Yes"/>
    <s v="No"/>
    <x v="1"/>
    <x v="2"/>
    <s v="Not Applicable"/>
    <n v="50"/>
    <x v="0"/>
  </r>
  <r>
    <s v="DBR0405"/>
    <x v="1"/>
    <x v="4"/>
    <d v="2025-10-07T00:00:00"/>
    <d v="2025-11-12T00:00:00"/>
    <s v="No"/>
    <s v="Rejected"/>
    <s v="No"/>
    <s v="No"/>
    <x v="1"/>
    <x v="2"/>
    <s v="Not Applicable"/>
    <n v="45"/>
    <x v="2"/>
  </r>
  <r>
    <s v="DBR0406"/>
    <x v="1"/>
    <x v="0"/>
    <d v="2025-12-28T00:00:00"/>
    <d v="2026-02-06T00:00:00"/>
    <s v="No"/>
    <s v="Rejected"/>
    <s v="No"/>
    <s v="No"/>
    <x v="1"/>
    <x v="2"/>
    <s v="Not Applicable"/>
    <n v="51"/>
    <x v="3"/>
  </r>
  <r>
    <s v="DBR0407"/>
    <x v="2"/>
    <x v="1"/>
    <d v="2025-02-18T00:00:00"/>
    <d v="2025-03-15T00:00:00"/>
    <s v="Yes"/>
    <s v="Valid"/>
    <s v="No"/>
    <s v="No"/>
    <x v="0"/>
    <x v="239"/>
    <s v="Pending"/>
    <n v="43"/>
    <x v="1"/>
  </r>
  <r>
    <s v="DBR0408"/>
    <x v="3"/>
    <x v="0"/>
    <d v="2025-03-09T00:00:00"/>
    <d v="2025-03-19T00:00:00"/>
    <s v="Yes"/>
    <s v="Rejected"/>
    <s v="No"/>
    <s v="No"/>
    <x v="1"/>
    <x v="2"/>
    <s v="Not Applicable"/>
    <n v="16"/>
    <x v="2"/>
  </r>
  <r>
    <s v="DBR0409"/>
    <x v="1"/>
    <x v="3"/>
    <d v="2025-01-22T00:00:00"/>
    <d v="2025-01-30T00:00:00"/>
    <s v="Yes"/>
    <s v="Rejected"/>
    <s v="No"/>
    <s v="No"/>
    <x v="1"/>
    <x v="2"/>
    <s v="Not Applicable"/>
    <n v="27"/>
    <x v="2"/>
  </r>
  <r>
    <s v="DBR0410"/>
    <x v="5"/>
    <x v="0"/>
    <d v="2025-01-10T00:00:00"/>
    <d v="2025-02-11T00:00:00"/>
    <s v="No"/>
    <s v="Rejected"/>
    <s v="No"/>
    <s v="No"/>
    <x v="1"/>
    <x v="2"/>
    <s v="Not Applicable"/>
    <n v="49"/>
    <x v="1"/>
  </r>
  <r>
    <s v="DBR0411"/>
    <x v="1"/>
    <x v="1"/>
    <d v="2025-12-22T00:00:00"/>
    <d v="2026-02-02T00:00:00"/>
    <s v="No"/>
    <s v="Deficient"/>
    <s v="Yes"/>
    <s v="Yes"/>
    <x v="0"/>
    <x v="240"/>
    <s v="Paid"/>
    <n v="75"/>
    <x v="0"/>
  </r>
  <r>
    <s v="DBR0412"/>
    <x v="3"/>
    <x v="4"/>
    <d v="2025-05-21T00:00:00"/>
    <d v="2025-07-05T00:00:00"/>
    <s v="No"/>
    <s v="Valid"/>
    <s v="No"/>
    <s v="No"/>
    <x v="0"/>
    <x v="241"/>
    <s v="Paid"/>
    <n v="51"/>
    <x v="1"/>
  </r>
  <r>
    <s v="DBR0413"/>
    <x v="1"/>
    <x v="4"/>
    <d v="2025-09-10T00:00:00"/>
    <d v="2025-09-26T00:00:00"/>
    <s v="Yes"/>
    <s v="Deficient"/>
    <s v="Yes"/>
    <s v="Yes"/>
    <x v="0"/>
    <x v="242"/>
    <s v="Pending"/>
    <n v="37"/>
    <x v="0"/>
  </r>
  <r>
    <s v="DBR0414"/>
    <x v="3"/>
    <x v="2"/>
    <d v="2025-09-05T00:00:00"/>
    <d v="2025-09-24T00:00:00"/>
    <s v="Yes"/>
    <s v="Valid"/>
    <s v="No"/>
    <s v="No"/>
    <x v="0"/>
    <x v="243"/>
    <s v="Pending"/>
    <n v="32"/>
    <x v="0"/>
  </r>
  <r>
    <s v="DBR0415"/>
    <x v="0"/>
    <x v="4"/>
    <d v="2025-02-22T00:00:00"/>
    <d v="2025-03-29T00:00:00"/>
    <s v="No"/>
    <s v="Deficient"/>
    <s v="Yes"/>
    <s v="Yes"/>
    <x v="0"/>
    <x v="244"/>
    <s v="Paid"/>
    <n v="73"/>
    <x v="3"/>
  </r>
  <r>
    <s v="DBR0416"/>
    <x v="1"/>
    <x v="0"/>
    <d v="2025-08-07T00:00:00"/>
    <d v="2025-08-26T00:00:00"/>
    <s v="Yes"/>
    <s v="Deficient"/>
    <s v="Yes"/>
    <s v="Yes"/>
    <x v="0"/>
    <x v="245"/>
    <s v="Paid"/>
    <n v="39"/>
    <x v="3"/>
  </r>
  <r>
    <s v="DBR0417"/>
    <x v="2"/>
    <x v="4"/>
    <d v="2025-10-09T00:00:00"/>
    <d v="2025-10-20T00:00:00"/>
    <s v="Yes"/>
    <s v="Rejected"/>
    <s v="No"/>
    <s v="No"/>
    <x v="1"/>
    <x v="2"/>
    <s v="Not Applicable"/>
    <n v="17"/>
    <x v="2"/>
  </r>
  <r>
    <s v="DBR0418"/>
    <x v="4"/>
    <x v="2"/>
    <d v="2025-07-04T00:00:00"/>
    <d v="2025-08-07T00:00:00"/>
    <s v="No"/>
    <s v="Rejected"/>
    <s v="No"/>
    <s v="No"/>
    <x v="1"/>
    <x v="2"/>
    <s v="Not Applicable"/>
    <n v="67"/>
    <x v="2"/>
  </r>
  <r>
    <s v="DBR0419"/>
    <x v="2"/>
    <x v="4"/>
    <d v="2025-11-10T00:00:00"/>
    <d v="2025-12-05T00:00:00"/>
    <s v="Yes"/>
    <s v="Deficient"/>
    <s v="Yes"/>
    <s v="Yes"/>
    <x v="0"/>
    <x v="246"/>
    <s v="Paid"/>
    <n v="58"/>
    <x v="0"/>
  </r>
  <r>
    <s v="DBR0420"/>
    <x v="4"/>
    <x v="1"/>
    <d v="2025-09-02T00:00:00"/>
    <d v="2025-10-04T00:00:00"/>
    <s v="No"/>
    <s v="Valid"/>
    <s v="No"/>
    <s v="No"/>
    <x v="0"/>
    <x v="247"/>
    <s v="Paid"/>
    <n v="64"/>
    <x v="0"/>
  </r>
  <r>
    <s v="DBR0421"/>
    <x v="4"/>
    <x v="1"/>
    <d v="2025-03-06T00:00:00"/>
    <d v="2025-03-25T00:00:00"/>
    <s v="Yes"/>
    <s v="Valid"/>
    <s v="No"/>
    <s v="No"/>
    <x v="0"/>
    <x v="248"/>
    <s v="Paid"/>
    <n v="24"/>
    <x v="1"/>
  </r>
  <r>
    <s v="DBR0422"/>
    <x v="2"/>
    <x v="3"/>
    <d v="2025-06-13T00:00:00"/>
    <d v="2025-07-11T00:00:00"/>
    <s v="Yes"/>
    <s v="Valid"/>
    <s v="No"/>
    <s v="No"/>
    <x v="0"/>
    <x v="249"/>
    <s v="Paid"/>
    <n v="45"/>
    <x v="2"/>
  </r>
  <r>
    <s v="DBR0423"/>
    <x v="3"/>
    <x v="1"/>
    <d v="2025-10-02T00:00:00"/>
    <d v="2025-10-24T00:00:00"/>
    <s v="Yes"/>
    <s v="Deficient"/>
    <s v="Yes"/>
    <s v="Yes"/>
    <x v="0"/>
    <x v="250"/>
    <s v="Paid"/>
    <n v="28"/>
    <x v="0"/>
  </r>
  <r>
    <s v="DBR0424"/>
    <x v="4"/>
    <x v="2"/>
    <d v="2025-12-24T00:00:00"/>
    <d v="2026-02-03T00:00:00"/>
    <s v="No"/>
    <s v="Deficient"/>
    <s v="Yes"/>
    <s v="No"/>
    <x v="1"/>
    <x v="2"/>
    <s v="Not Applicable"/>
    <n v="73"/>
    <x v="1"/>
  </r>
  <r>
    <s v="DBR0425"/>
    <x v="0"/>
    <x v="2"/>
    <d v="2025-05-14T00:00:00"/>
    <d v="2025-05-31T00:00:00"/>
    <s v="Yes"/>
    <s v="Rejected"/>
    <s v="No"/>
    <s v="No"/>
    <x v="1"/>
    <x v="2"/>
    <s v="Not Applicable"/>
    <n v="49"/>
    <x v="0"/>
  </r>
  <r>
    <s v="DBR0426"/>
    <x v="2"/>
    <x v="1"/>
    <d v="2025-01-20T00:00:00"/>
    <d v="2025-02-21T00:00:00"/>
    <s v="No"/>
    <s v="Rejected"/>
    <s v="No"/>
    <s v="No"/>
    <x v="1"/>
    <x v="2"/>
    <s v="Not Applicable"/>
    <n v="50"/>
    <x v="1"/>
  </r>
  <r>
    <s v="DBR0427"/>
    <x v="2"/>
    <x v="3"/>
    <d v="2025-08-03T00:00:00"/>
    <d v="2025-09-14T00:00:00"/>
    <s v="No"/>
    <s v="Deficient"/>
    <s v="Yes"/>
    <s v="Yes"/>
    <x v="0"/>
    <x v="251"/>
    <s v="Paid"/>
    <n v="55"/>
    <x v="3"/>
  </r>
  <r>
    <s v="DBR0428"/>
    <x v="4"/>
    <x v="0"/>
    <d v="2025-07-01T00:00:00"/>
    <d v="2025-07-23T00:00:00"/>
    <s v="Yes"/>
    <s v="Rejected"/>
    <s v="No"/>
    <s v="No"/>
    <x v="1"/>
    <x v="2"/>
    <s v="Not Applicable"/>
    <n v="47"/>
    <x v="0"/>
  </r>
  <r>
    <s v="DBR0429"/>
    <x v="0"/>
    <x v="1"/>
    <d v="2025-12-28T00:00:00"/>
    <d v="2026-01-06T00:00:00"/>
    <s v="Yes"/>
    <s v="Valid"/>
    <s v="No"/>
    <s v="No"/>
    <x v="0"/>
    <x v="252"/>
    <s v="Paid"/>
    <n v="41"/>
    <x v="3"/>
  </r>
  <r>
    <s v="DBR0430"/>
    <x v="4"/>
    <x v="1"/>
    <d v="2025-01-15T00:00:00"/>
    <d v="2025-02-21T00:00:00"/>
    <s v="No"/>
    <s v="Valid"/>
    <s v="No"/>
    <s v="No"/>
    <x v="0"/>
    <x v="253"/>
    <s v="Paid"/>
    <n v="70"/>
    <x v="1"/>
  </r>
  <r>
    <s v="DBR0431"/>
    <x v="4"/>
    <x v="3"/>
    <d v="2025-09-07T00:00:00"/>
    <d v="2025-09-23T00:00:00"/>
    <s v="Yes"/>
    <s v="Deficient"/>
    <s v="Yes"/>
    <s v="Yes"/>
    <x v="0"/>
    <x v="254"/>
    <s v="Paid"/>
    <n v="42"/>
    <x v="2"/>
  </r>
  <r>
    <s v="DBR0432"/>
    <x v="3"/>
    <x v="1"/>
    <d v="2025-02-10T00:00:00"/>
    <d v="2025-03-23T00:00:00"/>
    <s v="No"/>
    <s v="Valid"/>
    <s v="No"/>
    <s v="No"/>
    <x v="0"/>
    <x v="255"/>
    <s v="Paid"/>
    <n v="73"/>
    <x v="0"/>
  </r>
  <r>
    <s v="DBR0433"/>
    <x v="5"/>
    <x v="4"/>
    <d v="2025-01-25T00:00:00"/>
    <d v="2025-02-17T00:00:00"/>
    <s v="Yes"/>
    <s v="Valid"/>
    <s v="No"/>
    <s v="No"/>
    <x v="0"/>
    <x v="256"/>
    <s v="Paid"/>
    <n v="50"/>
    <x v="2"/>
  </r>
  <r>
    <s v="DBR0434"/>
    <x v="3"/>
    <x v="0"/>
    <d v="2025-03-17T00:00:00"/>
    <d v="2025-04-17T00:00:00"/>
    <s v="No"/>
    <s v="Rejected"/>
    <s v="No"/>
    <s v="No"/>
    <x v="1"/>
    <x v="2"/>
    <s v="Not Applicable"/>
    <n v="59"/>
    <x v="0"/>
  </r>
  <r>
    <s v="DBR0435"/>
    <x v="2"/>
    <x v="4"/>
    <d v="2025-09-15T00:00:00"/>
    <d v="2025-10-21T00:00:00"/>
    <s v="No"/>
    <s v="Deficient"/>
    <s v="Yes"/>
    <s v="Yes"/>
    <x v="0"/>
    <x v="257"/>
    <s v="Paid"/>
    <n v="74"/>
    <x v="1"/>
  </r>
  <r>
    <s v="DBR0436"/>
    <x v="4"/>
    <x v="1"/>
    <d v="2025-08-16T00:00:00"/>
    <d v="2025-08-27T00:00:00"/>
    <s v="Yes"/>
    <s v="Rejected"/>
    <s v="No"/>
    <s v="No"/>
    <x v="1"/>
    <x v="2"/>
    <s v="Not Applicable"/>
    <n v="41"/>
    <x v="2"/>
  </r>
  <r>
    <s v="DBR0437"/>
    <x v="4"/>
    <x v="4"/>
    <d v="2025-04-08T00:00:00"/>
    <d v="2025-05-11T00:00:00"/>
    <s v="No"/>
    <s v="Rejected"/>
    <s v="No"/>
    <s v="No"/>
    <x v="1"/>
    <x v="2"/>
    <s v="Not Applicable"/>
    <n v="69"/>
    <x v="2"/>
  </r>
  <r>
    <s v="DBR0438"/>
    <x v="5"/>
    <x v="3"/>
    <d v="2025-04-05T00:00:00"/>
    <d v="2025-04-26T00:00:00"/>
    <s v="Yes"/>
    <s v="Deficient"/>
    <s v="Yes"/>
    <s v="Yes"/>
    <x v="0"/>
    <x v="258"/>
    <s v="Paid"/>
    <n v="60"/>
    <x v="1"/>
  </r>
  <r>
    <s v="DBR0439"/>
    <x v="0"/>
    <x v="4"/>
    <d v="2025-06-07T00:00:00"/>
    <d v="2025-07-18T00:00:00"/>
    <s v="No"/>
    <s v="Deficient"/>
    <s v="Yes"/>
    <s v="No"/>
    <x v="1"/>
    <x v="2"/>
    <s v="Not Applicable"/>
    <n v="62"/>
    <x v="2"/>
  </r>
  <r>
    <s v="DBR0440"/>
    <x v="0"/>
    <x v="2"/>
    <d v="2025-11-04T00:00:00"/>
    <d v="2025-11-05T00:00:00"/>
    <s v="Yes"/>
    <s v="Valid"/>
    <s v="No"/>
    <s v="No"/>
    <x v="0"/>
    <x v="259"/>
    <s v="Paid"/>
    <n v="30"/>
    <x v="3"/>
  </r>
  <r>
    <s v="DBR0441"/>
    <x v="0"/>
    <x v="0"/>
    <d v="2025-05-09T00:00:00"/>
    <d v="2025-06-16T00:00:00"/>
    <s v="No"/>
    <s v="Rejected"/>
    <s v="No"/>
    <s v="No"/>
    <x v="1"/>
    <x v="2"/>
    <s v="Not Applicable"/>
    <n v="49"/>
    <x v="1"/>
  </r>
  <r>
    <s v="DBR0442"/>
    <x v="2"/>
    <x v="3"/>
    <d v="2025-01-26T00:00:00"/>
    <d v="2025-03-07T00:00:00"/>
    <s v="No"/>
    <s v="Rejected"/>
    <s v="No"/>
    <s v="No"/>
    <x v="1"/>
    <x v="2"/>
    <s v="Not Applicable"/>
    <n v="64"/>
    <x v="2"/>
  </r>
  <r>
    <s v="DBR0443"/>
    <x v="3"/>
    <x v="2"/>
    <d v="2025-09-05T00:00:00"/>
    <d v="2025-09-12T00:00:00"/>
    <s v="Yes"/>
    <s v="Rejected"/>
    <s v="No"/>
    <s v="No"/>
    <x v="1"/>
    <x v="2"/>
    <s v="Not Applicable"/>
    <n v="24"/>
    <x v="1"/>
  </r>
  <r>
    <s v="DBR0444"/>
    <x v="1"/>
    <x v="1"/>
    <d v="2025-01-19T00:00:00"/>
    <d v="2025-02-14T00:00:00"/>
    <s v="Yes"/>
    <s v="Rejected"/>
    <s v="No"/>
    <s v="No"/>
    <x v="1"/>
    <x v="2"/>
    <s v="Not Applicable"/>
    <n v="51"/>
    <x v="0"/>
  </r>
  <r>
    <s v="DBR0445"/>
    <x v="3"/>
    <x v="3"/>
    <d v="2025-02-07T00:00:00"/>
    <d v="2025-03-07T00:00:00"/>
    <s v="Yes"/>
    <s v="Rejected"/>
    <s v="No"/>
    <s v="No"/>
    <x v="1"/>
    <x v="2"/>
    <s v="Not Applicable"/>
    <n v="45"/>
    <x v="0"/>
  </r>
  <r>
    <s v="DBR0446"/>
    <x v="5"/>
    <x v="4"/>
    <d v="2025-09-08T00:00:00"/>
    <d v="2025-09-24T00:00:00"/>
    <s v="Yes"/>
    <s v="Rejected"/>
    <s v="No"/>
    <s v="No"/>
    <x v="1"/>
    <x v="2"/>
    <s v="Not Applicable"/>
    <n v="49"/>
    <x v="1"/>
  </r>
  <r>
    <s v="DBR0447"/>
    <x v="0"/>
    <x v="3"/>
    <d v="2025-12-28T00:00:00"/>
    <d v="2026-01-24T00:00:00"/>
    <s v="Yes"/>
    <s v="Valid"/>
    <s v="No"/>
    <s v="No"/>
    <x v="0"/>
    <x v="260"/>
    <s v="Paid"/>
    <n v="54"/>
    <x v="1"/>
  </r>
  <r>
    <s v="DBR0448"/>
    <x v="4"/>
    <x v="3"/>
    <d v="2025-09-12T00:00:00"/>
    <d v="2025-10-02T00:00:00"/>
    <s v="Yes"/>
    <s v="Deficient"/>
    <s v="Yes"/>
    <s v="Yes"/>
    <x v="0"/>
    <x v="261"/>
    <s v="Paid"/>
    <n v="50"/>
    <x v="0"/>
  </r>
  <r>
    <s v="DBR0449"/>
    <x v="2"/>
    <x v="4"/>
    <d v="2025-04-28T00:00:00"/>
    <d v="2025-06-03T00:00:00"/>
    <s v="No"/>
    <s v="Deficient"/>
    <s v="Yes"/>
    <s v="No"/>
    <x v="1"/>
    <x v="2"/>
    <s v="Not Applicable"/>
    <n v="65"/>
    <x v="2"/>
  </r>
  <r>
    <s v="DBR0450"/>
    <x v="1"/>
    <x v="3"/>
    <d v="2025-10-10T00:00:00"/>
    <d v="2025-10-13T00:00:00"/>
    <s v="Yes"/>
    <s v="Rejected"/>
    <s v="No"/>
    <s v="No"/>
    <x v="1"/>
    <x v="2"/>
    <s v="Not Applicable"/>
    <n v="22"/>
    <x v="2"/>
  </r>
  <r>
    <s v="DBR0451"/>
    <x v="0"/>
    <x v="0"/>
    <d v="2025-12-23T00:00:00"/>
    <d v="2025-12-31T00:00:00"/>
    <s v="Yes"/>
    <s v="Deficient"/>
    <s v="Yes"/>
    <s v="No"/>
    <x v="1"/>
    <x v="2"/>
    <s v="Not Applicable"/>
    <n v="41"/>
    <x v="0"/>
  </r>
  <r>
    <s v="DBR0452"/>
    <x v="3"/>
    <x v="3"/>
    <d v="2025-12-12T00:00:00"/>
    <d v="2026-01-21T00:00:00"/>
    <s v="No"/>
    <s v="Deficient"/>
    <s v="Yes"/>
    <s v="Yes"/>
    <x v="0"/>
    <x v="262"/>
    <s v="Paid"/>
    <n v="67"/>
    <x v="3"/>
  </r>
  <r>
    <s v="DBR0453"/>
    <x v="1"/>
    <x v="3"/>
    <d v="2025-02-28T00:00:00"/>
    <d v="2025-03-17T00:00:00"/>
    <s v="Yes"/>
    <s v="Valid"/>
    <s v="No"/>
    <s v="No"/>
    <x v="0"/>
    <x v="263"/>
    <s v="Paid"/>
    <n v="50"/>
    <x v="0"/>
  </r>
  <r>
    <s v="DBR0454"/>
    <x v="4"/>
    <x v="3"/>
    <d v="2025-08-25T00:00:00"/>
    <d v="2025-09-13T00:00:00"/>
    <s v="Yes"/>
    <s v="Deficient"/>
    <s v="Yes"/>
    <s v="Yes"/>
    <x v="0"/>
    <x v="264"/>
    <s v="Paid"/>
    <n v="59"/>
    <x v="2"/>
  </r>
  <r>
    <s v="DBR0455"/>
    <x v="5"/>
    <x v="3"/>
    <d v="2025-03-14T00:00:00"/>
    <d v="2025-04-25T00:00:00"/>
    <s v="No"/>
    <s v="Rejected"/>
    <s v="No"/>
    <s v="No"/>
    <x v="1"/>
    <x v="2"/>
    <s v="Not Applicable"/>
    <n v="72"/>
    <x v="2"/>
  </r>
  <r>
    <s v="DBR0456"/>
    <x v="0"/>
    <x v="2"/>
    <d v="2025-05-10T00:00:00"/>
    <d v="2025-05-30T00:00:00"/>
    <s v="Yes"/>
    <s v="Rejected"/>
    <s v="No"/>
    <s v="No"/>
    <x v="1"/>
    <x v="2"/>
    <s v="Not Applicable"/>
    <n v="43"/>
    <x v="2"/>
  </r>
  <r>
    <s v="DBR0457"/>
    <x v="1"/>
    <x v="1"/>
    <d v="2025-02-15T00:00:00"/>
    <d v="2025-03-16T00:00:00"/>
    <s v="Yes"/>
    <s v="Rejected"/>
    <s v="No"/>
    <s v="No"/>
    <x v="1"/>
    <x v="2"/>
    <s v="Not Applicable"/>
    <n v="35"/>
    <x v="3"/>
  </r>
  <r>
    <s v="DBR0458"/>
    <x v="5"/>
    <x v="1"/>
    <d v="2025-06-06T00:00:00"/>
    <d v="2025-06-28T00:00:00"/>
    <s v="Yes"/>
    <s v="Rejected"/>
    <s v="No"/>
    <s v="No"/>
    <x v="1"/>
    <x v="2"/>
    <s v="Not Applicable"/>
    <n v="53"/>
    <x v="2"/>
  </r>
  <r>
    <s v="DBR0459"/>
    <x v="5"/>
    <x v="4"/>
    <d v="2025-10-26T00:00:00"/>
    <d v="2025-12-05T00:00:00"/>
    <s v="No"/>
    <s v="Valid"/>
    <s v="No"/>
    <s v="No"/>
    <x v="0"/>
    <x v="265"/>
    <s v="Paid"/>
    <n v="78"/>
    <x v="1"/>
  </r>
  <r>
    <s v="DBR0460"/>
    <x v="1"/>
    <x v="2"/>
    <d v="2025-05-17T00:00:00"/>
    <d v="2025-06-20T00:00:00"/>
    <s v="No"/>
    <s v="Rejected"/>
    <s v="No"/>
    <s v="No"/>
    <x v="1"/>
    <x v="2"/>
    <s v="Not Applicable"/>
    <n v="70"/>
    <x v="3"/>
  </r>
  <r>
    <s v="DBR0461"/>
    <x v="3"/>
    <x v="4"/>
    <d v="2025-04-19T00:00:00"/>
    <d v="2025-05-23T00:00:00"/>
    <s v="No"/>
    <s v="Deficient"/>
    <s v="Yes"/>
    <s v="Yes"/>
    <x v="0"/>
    <x v="266"/>
    <s v="Paid"/>
    <n v="67"/>
    <x v="0"/>
  </r>
  <r>
    <s v="DBR0462"/>
    <x v="4"/>
    <x v="3"/>
    <d v="2025-11-20T00:00:00"/>
    <d v="2026-01-04T00:00:00"/>
    <s v="No"/>
    <s v="Valid"/>
    <s v="No"/>
    <s v="No"/>
    <x v="0"/>
    <x v="267"/>
    <s v="Paid"/>
    <n v="56"/>
    <x v="0"/>
  </r>
  <r>
    <s v="DBR0463"/>
    <x v="1"/>
    <x v="3"/>
    <d v="2025-10-24T00:00:00"/>
    <d v="2025-11-27T00:00:00"/>
    <s v="No"/>
    <s v="Rejected"/>
    <s v="No"/>
    <s v="No"/>
    <x v="1"/>
    <x v="2"/>
    <s v="Not Applicable"/>
    <n v="71"/>
    <x v="0"/>
  </r>
  <r>
    <s v="DBR0464"/>
    <x v="2"/>
    <x v="2"/>
    <d v="2025-06-07T00:00:00"/>
    <d v="2025-06-14T00:00:00"/>
    <s v="Yes"/>
    <s v="Deficient"/>
    <s v="Yes"/>
    <s v="Yes"/>
    <x v="0"/>
    <x v="268"/>
    <s v="Paid"/>
    <n v="24"/>
    <x v="2"/>
  </r>
  <r>
    <s v="DBR0465"/>
    <x v="0"/>
    <x v="4"/>
    <d v="2025-08-07T00:00:00"/>
    <d v="2025-08-26T00:00:00"/>
    <s v="Yes"/>
    <s v="Deficient"/>
    <s v="Yes"/>
    <s v="Yes"/>
    <x v="0"/>
    <x v="269"/>
    <s v="Pending"/>
    <n v="24"/>
    <x v="3"/>
  </r>
  <r>
    <s v="DBR0466"/>
    <x v="1"/>
    <x v="0"/>
    <d v="2025-08-27T00:00:00"/>
    <d v="2025-09-20T00:00:00"/>
    <s v="Yes"/>
    <s v="Deficient"/>
    <s v="Yes"/>
    <s v="No"/>
    <x v="1"/>
    <x v="2"/>
    <s v="Not Applicable"/>
    <n v="35"/>
    <x v="1"/>
  </r>
  <r>
    <s v="DBR0467"/>
    <x v="0"/>
    <x v="2"/>
    <d v="2025-11-24T00:00:00"/>
    <d v="2025-12-09T00:00:00"/>
    <s v="Yes"/>
    <s v="Rejected"/>
    <s v="No"/>
    <s v="No"/>
    <x v="1"/>
    <x v="2"/>
    <s v="Not Applicable"/>
    <n v="29"/>
    <x v="2"/>
  </r>
  <r>
    <s v="DBR0468"/>
    <x v="1"/>
    <x v="0"/>
    <d v="2025-10-09T00:00:00"/>
    <d v="2025-11-19T00:00:00"/>
    <s v="No"/>
    <s v="Deficient"/>
    <s v="Yes"/>
    <s v="Yes"/>
    <x v="0"/>
    <x v="270"/>
    <s v="Pending"/>
    <n v="47"/>
    <x v="1"/>
  </r>
  <r>
    <s v="DBR0469"/>
    <x v="1"/>
    <x v="1"/>
    <d v="2025-03-09T00:00:00"/>
    <d v="2025-03-28T00:00:00"/>
    <s v="Yes"/>
    <s v="Rejected"/>
    <s v="No"/>
    <s v="No"/>
    <x v="1"/>
    <x v="2"/>
    <s v="Not Applicable"/>
    <n v="27"/>
    <x v="2"/>
  </r>
  <r>
    <s v="DBR0470"/>
    <x v="5"/>
    <x v="4"/>
    <d v="2025-07-26T00:00:00"/>
    <d v="2025-07-31T00:00:00"/>
    <s v="Yes"/>
    <s v="Valid"/>
    <s v="No"/>
    <s v="No"/>
    <x v="0"/>
    <x v="271"/>
    <s v="Paid"/>
    <n v="38"/>
    <x v="2"/>
  </r>
  <r>
    <s v="DBR0471"/>
    <x v="0"/>
    <x v="3"/>
    <d v="2025-11-18T00:00:00"/>
    <d v="2025-12-09T00:00:00"/>
    <s v="Yes"/>
    <s v="Deficient"/>
    <s v="Yes"/>
    <s v="No"/>
    <x v="1"/>
    <x v="2"/>
    <s v="Not Applicable"/>
    <n v="26"/>
    <x v="1"/>
  </r>
  <r>
    <s v="DBR0472"/>
    <x v="3"/>
    <x v="3"/>
    <d v="2025-07-22T00:00:00"/>
    <d v="2025-08-29T00:00:00"/>
    <s v="No"/>
    <s v="Deficient"/>
    <s v="Yes"/>
    <s v="No"/>
    <x v="1"/>
    <x v="2"/>
    <s v="Not Applicable"/>
    <n v="67"/>
    <x v="2"/>
  </r>
  <r>
    <s v="DBR0473"/>
    <x v="2"/>
    <x v="1"/>
    <d v="2025-12-13T00:00:00"/>
    <d v="2026-01-21T00:00:00"/>
    <s v="No"/>
    <s v="Rejected"/>
    <s v="No"/>
    <s v="No"/>
    <x v="1"/>
    <x v="2"/>
    <s v="Not Applicable"/>
    <n v="47"/>
    <x v="2"/>
  </r>
  <r>
    <s v="DBR0474"/>
    <x v="5"/>
    <x v="1"/>
    <d v="2025-12-20T00:00:00"/>
    <d v="2025-12-22T00:00:00"/>
    <s v="Yes"/>
    <s v="Rejected"/>
    <s v="No"/>
    <s v="No"/>
    <x v="1"/>
    <x v="2"/>
    <s v="Not Applicable"/>
    <n v="22"/>
    <x v="0"/>
  </r>
  <r>
    <s v="DBR0475"/>
    <x v="5"/>
    <x v="1"/>
    <d v="2025-12-16T00:00:00"/>
    <d v="2026-01-21T00:00:00"/>
    <s v="No"/>
    <s v="Valid"/>
    <s v="No"/>
    <s v="No"/>
    <x v="0"/>
    <x v="272"/>
    <s v="Paid"/>
    <n v="48"/>
    <x v="1"/>
  </r>
  <r>
    <s v="DBR0476"/>
    <x v="0"/>
    <x v="1"/>
    <d v="2025-11-25T00:00:00"/>
    <d v="2025-12-11T00:00:00"/>
    <s v="Yes"/>
    <s v="Deficient"/>
    <s v="Yes"/>
    <s v="No"/>
    <x v="1"/>
    <x v="2"/>
    <s v="Not Applicable"/>
    <n v="21"/>
    <x v="1"/>
  </r>
  <r>
    <s v="DBR0477"/>
    <x v="5"/>
    <x v="2"/>
    <d v="2025-04-28T00:00:00"/>
    <d v="2025-06-05T00:00:00"/>
    <s v="No"/>
    <s v="Valid"/>
    <s v="No"/>
    <s v="No"/>
    <x v="0"/>
    <x v="273"/>
    <s v="Paid"/>
    <n v="71"/>
    <x v="0"/>
  </r>
  <r>
    <s v="DBR0478"/>
    <x v="5"/>
    <x v="2"/>
    <d v="2025-07-13T00:00:00"/>
    <d v="2025-07-18T00:00:00"/>
    <s v="Yes"/>
    <s v="Deficient"/>
    <s v="Yes"/>
    <s v="No"/>
    <x v="1"/>
    <x v="2"/>
    <s v="Not Applicable"/>
    <n v="39"/>
    <x v="2"/>
  </r>
  <r>
    <s v="DBR0479"/>
    <x v="2"/>
    <x v="0"/>
    <d v="2025-11-22T00:00:00"/>
    <d v="2025-12-16T00:00:00"/>
    <s v="Yes"/>
    <s v="Deficient"/>
    <s v="Yes"/>
    <s v="Yes"/>
    <x v="0"/>
    <x v="274"/>
    <s v="Paid"/>
    <n v="48"/>
    <x v="0"/>
  </r>
  <r>
    <s v="DBR0480"/>
    <x v="4"/>
    <x v="0"/>
    <d v="2025-04-10T00:00:00"/>
    <d v="2025-04-26T00:00:00"/>
    <s v="Yes"/>
    <s v="Valid"/>
    <s v="No"/>
    <s v="No"/>
    <x v="0"/>
    <x v="275"/>
    <s v="Paid"/>
    <n v="33"/>
    <x v="3"/>
  </r>
  <r>
    <s v="DBR0481"/>
    <x v="1"/>
    <x v="3"/>
    <d v="2025-02-15T00:00:00"/>
    <d v="2025-02-17T00:00:00"/>
    <s v="Yes"/>
    <s v="Valid"/>
    <s v="No"/>
    <s v="No"/>
    <x v="0"/>
    <x v="276"/>
    <s v="Paid"/>
    <n v="33"/>
    <x v="1"/>
  </r>
  <r>
    <s v="DBR0482"/>
    <x v="4"/>
    <x v="2"/>
    <d v="2025-06-07T00:00:00"/>
    <d v="2025-06-09T00:00:00"/>
    <s v="Yes"/>
    <s v="Valid"/>
    <s v="No"/>
    <s v="No"/>
    <x v="0"/>
    <x v="277"/>
    <s v="Paid"/>
    <n v="34"/>
    <x v="1"/>
  </r>
  <r>
    <s v="DBR0483"/>
    <x v="1"/>
    <x v="3"/>
    <d v="2025-04-03T00:00:00"/>
    <d v="2025-04-15T00:00:00"/>
    <s v="Yes"/>
    <s v="Valid"/>
    <s v="No"/>
    <s v="No"/>
    <x v="0"/>
    <x v="278"/>
    <s v="Paid"/>
    <n v="38"/>
    <x v="3"/>
  </r>
  <r>
    <s v="DBR0484"/>
    <x v="3"/>
    <x v="0"/>
    <d v="2025-01-24T00:00:00"/>
    <d v="2025-01-25T00:00:00"/>
    <s v="Yes"/>
    <s v="Valid"/>
    <s v="No"/>
    <s v="No"/>
    <x v="0"/>
    <x v="279"/>
    <s v="Paid"/>
    <n v="33"/>
    <x v="1"/>
  </r>
  <r>
    <s v="DBR0485"/>
    <x v="3"/>
    <x v="4"/>
    <d v="2025-07-15T00:00:00"/>
    <d v="2025-07-19T00:00:00"/>
    <s v="Yes"/>
    <s v="Rejected"/>
    <s v="No"/>
    <s v="No"/>
    <x v="1"/>
    <x v="2"/>
    <s v="Not Applicable"/>
    <n v="13"/>
    <x v="1"/>
  </r>
  <r>
    <s v="DBR0486"/>
    <x v="0"/>
    <x v="3"/>
    <d v="2025-05-24T00:00:00"/>
    <d v="2025-06-14T00:00:00"/>
    <s v="Yes"/>
    <s v="Deficient"/>
    <s v="Yes"/>
    <s v="Yes"/>
    <x v="0"/>
    <x v="280"/>
    <s v="Pending"/>
    <n v="30"/>
    <x v="2"/>
  </r>
  <r>
    <s v="DBR0487"/>
    <x v="0"/>
    <x v="3"/>
    <d v="2025-12-02T00:00:00"/>
    <d v="2025-12-21T00:00:00"/>
    <s v="Yes"/>
    <s v="Valid"/>
    <s v="No"/>
    <s v="No"/>
    <x v="0"/>
    <x v="281"/>
    <s v="Pending"/>
    <n v="26"/>
    <x v="1"/>
  </r>
  <r>
    <s v="DBR0488"/>
    <x v="0"/>
    <x v="0"/>
    <d v="2025-05-02T00:00:00"/>
    <d v="2025-05-19T00:00:00"/>
    <s v="Yes"/>
    <s v="Valid"/>
    <s v="No"/>
    <s v="No"/>
    <x v="0"/>
    <x v="282"/>
    <s v="Paid"/>
    <n v="38"/>
    <x v="3"/>
  </r>
  <r>
    <s v="DBR0489"/>
    <x v="0"/>
    <x v="2"/>
    <d v="2025-11-16T00:00:00"/>
    <d v="2025-12-25T00:00:00"/>
    <s v="No"/>
    <s v="Deficient"/>
    <s v="Yes"/>
    <s v="No"/>
    <x v="1"/>
    <x v="2"/>
    <s v="Not Applicable"/>
    <n v="48"/>
    <x v="2"/>
  </r>
  <r>
    <s v="DBR0490"/>
    <x v="5"/>
    <x v="4"/>
    <d v="2025-12-10T00:00:00"/>
    <d v="2026-01-23T00:00:00"/>
    <s v="No"/>
    <s v="Rejected"/>
    <s v="No"/>
    <s v="No"/>
    <x v="1"/>
    <x v="2"/>
    <s v="Not Applicable"/>
    <n v="80"/>
    <x v="0"/>
  </r>
  <r>
    <s v="DBR0491"/>
    <x v="5"/>
    <x v="2"/>
    <d v="2025-02-27T00:00:00"/>
    <d v="2025-04-05T00:00:00"/>
    <s v="No"/>
    <s v="Deficient"/>
    <s v="Yes"/>
    <s v="No"/>
    <x v="1"/>
    <x v="2"/>
    <s v="Not Applicable"/>
    <n v="46"/>
    <x v="1"/>
  </r>
  <r>
    <s v="DBR0492"/>
    <x v="5"/>
    <x v="3"/>
    <d v="2025-07-17T00:00:00"/>
    <d v="2025-08-04T00:00:00"/>
    <s v="Yes"/>
    <s v="Deficient"/>
    <s v="Yes"/>
    <s v="Yes"/>
    <x v="0"/>
    <x v="283"/>
    <s v="Paid"/>
    <n v="53"/>
    <x v="2"/>
  </r>
  <r>
    <s v="DBR0493"/>
    <x v="1"/>
    <x v="1"/>
    <d v="2025-12-03T00:00:00"/>
    <d v="2025-12-15T00:00:00"/>
    <s v="Yes"/>
    <s v="Valid"/>
    <s v="No"/>
    <s v="No"/>
    <x v="0"/>
    <x v="284"/>
    <s v="Paid"/>
    <n v="50"/>
    <x v="3"/>
  </r>
  <r>
    <s v="DBR0494"/>
    <x v="5"/>
    <x v="4"/>
    <d v="2025-06-23T00:00:00"/>
    <d v="2025-07-19T00:00:00"/>
    <s v="Yes"/>
    <s v="Rejected"/>
    <s v="No"/>
    <s v="No"/>
    <x v="1"/>
    <x v="2"/>
    <s v="Not Applicable"/>
    <n v="59"/>
    <x v="1"/>
  </r>
  <r>
    <s v="DBR0495"/>
    <x v="4"/>
    <x v="4"/>
    <d v="2025-05-14T00:00:00"/>
    <d v="2025-06-21T00:00:00"/>
    <s v="No"/>
    <s v="Valid"/>
    <s v="No"/>
    <s v="No"/>
    <x v="0"/>
    <x v="285"/>
    <s v="Paid"/>
    <n v="69"/>
    <x v="3"/>
  </r>
  <r>
    <s v="DBR0496"/>
    <x v="1"/>
    <x v="0"/>
    <d v="2025-06-09T00:00:00"/>
    <d v="2025-07-05T00:00:00"/>
    <s v="Yes"/>
    <s v="Rejected"/>
    <s v="No"/>
    <s v="No"/>
    <x v="1"/>
    <x v="2"/>
    <s v="Not Applicable"/>
    <n v="37"/>
    <x v="1"/>
  </r>
  <r>
    <s v="DBR0497"/>
    <x v="1"/>
    <x v="2"/>
    <d v="2025-01-03T00:00:00"/>
    <d v="2025-02-16T00:00:00"/>
    <s v="No"/>
    <s v="Deficient"/>
    <s v="Yes"/>
    <s v="No"/>
    <x v="1"/>
    <x v="2"/>
    <s v="Not Applicable"/>
    <n v="81"/>
    <x v="3"/>
  </r>
  <r>
    <s v="DBR0498"/>
    <x v="3"/>
    <x v="4"/>
    <d v="2025-08-08T00:00:00"/>
    <d v="2025-08-16T00:00:00"/>
    <s v="Yes"/>
    <s v="Valid"/>
    <s v="No"/>
    <s v="No"/>
    <x v="0"/>
    <x v="286"/>
    <s v="Paid"/>
    <n v="26"/>
    <x v="3"/>
  </r>
  <r>
    <s v="DBR0499"/>
    <x v="3"/>
    <x v="2"/>
    <d v="2025-08-23T00:00:00"/>
    <d v="2025-09-30T00:00:00"/>
    <s v="No"/>
    <s v="Rejected"/>
    <s v="No"/>
    <s v="No"/>
    <x v="1"/>
    <x v="2"/>
    <s v="Not Applicable"/>
    <n v="52"/>
    <x v="3"/>
  </r>
  <r>
    <s v="DBR0500"/>
    <x v="3"/>
    <x v="0"/>
    <d v="2025-02-03T00:00:00"/>
    <d v="2025-02-23T00:00:00"/>
    <s v="Yes"/>
    <s v="Valid"/>
    <s v="No"/>
    <s v="No"/>
    <x v="0"/>
    <x v="287"/>
    <s v="Paid"/>
    <n v="46"/>
    <x v="3"/>
  </r>
  <r>
    <s v="DBR0501"/>
    <x v="3"/>
    <x v="1"/>
    <d v="2025-10-21T00:00:00"/>
    <d v="2025-12-04T00:00:00"/>
    <s v="No"/>
    <s v="Deficient"/>
    <s v="Yes"/>
    <s v="Yes"/>
    <x v="0"/>
    <x v="288"/>
    <s v="Paid"/>
    <n v="71"/>
    <x v="1"/>
  </r>
  <r>
    <s v="DBR0502"/>
    <x v="5"/>
    <x v="0"/>
    <d v="2025-01-08T00:00:00"/>
    <d v="2025-01-31T00:00:00"/>
    <s v="Yes"/>
    <s v="Deficient"/>
    <s v="Yes"/>
    <s v="Yes"/>
    <x v="0"/>
    <x v="289"/>
    <s v="Pending"/>
    <n v="62"/>
    <x v="2"/>
  </r>
  <r>
    <s v="DBR0503"/>
    <x v="2"/>
    <x v="2"/>
    <d v="2025-10-08T00:00:00"/>
    <d v="2025-10-09T00:00:00"/>
    <s v="Yes"/>
    <s v="Deficient"/>
    <s v="Yes"/>
    <s v="Yes"/>
    <x v="0"/>
    <x v="290"/>
    <s v="Pending"/>
    <n v="38"/>
    <x v="1"/>
  </r>
  <r>
    <s v="DBR0504"/>
    <x v="5"/>
    <x v="3"/>
    <d v="2025-12-12T00:00:00"/>
    <d v="2026-01-05T00:00:00"/>
    <s v="Yes"/>
    <s v="Deficient"/>
    <s v="Yes"/>
    <s v="Yes"/>
    <x v="0"/>
    <x v="291"/>
    <s v="Paid"/>
    <n v="44"/>
    <x v="3"/>
  </r>
  <r>
    <s v="DBR0505"/>
    <x v="5"/>
    <x v="2"/>
    <d v="2025-12-04T00:00:00"/>
    <d v="2026-01-06T00:00:00"/>
    <s v="No"/>
    <s v="Valid"/>
    <s v="No"/>
    <s v="No"/>
    <x v="0"/>
    <x v="292"/>
    <s v="Paid"/>
    <n v="58"/>
    <x v="1"/>
  </r>
  <r>
    <s v="DBR0506"/>
    <x v="4"/>
    <x v="1"/>
    <d v="2025-06-10T00:00:00"/>
    <d v="2025-06-12T00:00:00"/>
    <s v="Yes"/>
    <s v="Deficient"/>
    <s v="Yes"/>
    <s v="No"/>
    <x v="1"/>
    <x v="2"/>
    <s v="Not Applicable"/>
    <n v="16"/>
    <x v="3"/>
  </r>
  <r>
    <s v="DBR0507"/>
    <x v="2"/>
    <x v="2"/>
    <d v="2025-02-16T00:00:00"/>
    <d v="2025-03-01T00:00:00"/>
    <s v="Yes"/>
    <s v="Valid"/>
    <s v="No"/>
    <s v="No"/>
    <x v="0"/>
    <x v="293"/>
    <s v="Paid"/>
    <n v="42"/>
    <x v="0"/>
  </r>
  <r>
    <s v="DBR0508"/>
    <x v="5"/>
    <x v="4"/>
    <d v="2025-01-05T00:00:00"/>
    <d v="2025-01-28T00:00:00"/>
    <s v="Yes"/>
    <s v="Rejected"/>
    <s v="No"/>
    <s v="No"/>
    <x v="1"/>
    <x v="2"/>
    <s v="Not Applicable"/>
    <n v="32"/>
    <x v="1"/>
  </r>
  <r>
    <s v="DBR0509"/>
    <x v="5"/>
    <x v="4"/>
    <d v="2025-11-19T00:00:00"/>
    <d v="2025-12-25T00:00:00"/>
    <s v="No"/>
    <s v="Valid"/>
    <s v="No"/>
    <s v="No"/>
    <x v="0"/>
    <x v="294"/>
    <s v="Paid"/>
    <n v="65"/>
    <x v="1"/>
  </r>
  <r>
    <s v="DBR0510"/>
    <x v="3"/>
    <x v="3"/>
    <d v="2025-05-11T00:00:00"/>
    <d v="2025-06-03T00:00:00"/>
    <s v="Yes"/>
    <s v="Deficient"/>
    <s v="Yes"/>
    <s v="Yes"/>
    <x v="0"/>
    <x v="295"/>
    <s v="Paid"/>
    <n v="63"/>
    <x v="3"/>
  </r>
  <r>
    <s v="DBR0511"/>
    <x v="2"/>
    <x v="3"/>
    <d v="2025-04-05T00:00:00"/>
    <d v="2025-04-27T00:00:00"/>
    <s v="Yes"/>
    <s v="Deficient"/>
    <s v="Yes"/>
    <s v="Yes"/>
    <x v="0"/>
    <x v="296"/>
    <s v="Paid"/>
    <n v="35"/>
    <x v="0"/>
  </r>
  <r>
    <s v="DBR0512"/>
    <x v="4"/>
    <x v="3"/>
    <d v="2025-08-19T00:00:00"/>
    <d v="2025-09-27T00:00:00"/>
    <s v="No"/>
    <s v="Valid"/>
    <s v="No"/>
    <s v="No"/>
    <x v="0"/>
    <x v="297"/>
    <s v="Paid"/>
    <n v="69"/>
    <x v="1"/>
  </r>
  <r>
    <s v="DBR0513"/>
    <x v="0"/>
    <x v="3"/>
    <d v="2025-03-04T00:00:00"/>
    <d v="2025-03-21T00:00:00"/>
    <s v="Yes"/>
    <s v="Deficient"/>
    <s v="Yes"/>
    <s v="No"/>
    <x v="1"/>
    <x v="2"/>
    <s v="Not Applicable"/>
    <n v="28"/>
    <x v="2"/>
  </r>
  <r>
    <s v="DBR0514"/>
    <x v="3"/>
    <x v="0"/>
    <d v="2025-11-12T00:00:00"/>
    <d v="2025-12-06T00:00:00"/>
    <s v="Yes"/>
    <s v="Valid"/>
    <s v="No"/>
    <s v="No"/>
    <x v="0"/>
    <x v="298"/>
    <s v="Paid"/>
    <n v="35"/>
    <x v="1"/>
  </r>
  <r>
    <s v="DBR0515"/>
    <x v="5"/>
    <x v="1"/>
    <d v="2025-05-10T00:00:00"/>
    <d v="2025-06-19T00:00:00"/>
    <s v="No"/>
    <s v="Valid"/>
    <s v="No"/>
    <s v="No"/>
    <x v="0"/>
    <x v="299"/>
    <s v="Paid"/>
    <n v="72"/>
    <x v="0"/>
  </r>
  <r>
    <s v="DBR0516"/>
    <x v="2"/>
    <x v="3"/>
    <d v="2025-08-13T00:00:00"/>
    <d v="2025-09-07T00:00:00"/>
    <s v="Yes"/>
    <s v="Rejected"/>
    <s v="No"/>
    <s v="No"/>
    <x v="1"/>
    <x v="2"/>
    <s v="Not Applicable"/>
    <n v="42"/>
    <x v="2"/>
  </r>
  <r>
    <s v="DBR0517"/>
    <x v="5"/>
    <x v="0"/>
    <d v="2025-09-28T00:00:00"/>
    <d v="2025-10-16T00:00:00"/>
    <s v="Yes"/>
    <s v="Deficient"/>
    <s v="Yes"/>
    <s v="Yes"/>
    <x v="0"/>
    <x v="300"/>
    <s v="Pending"/>
    <n v="56"/>
    <x v="2"/>
  </r>
  <r>
    <s v="DBR0518"/>
    <x v="2"/>
    <x v="3"/>
    <d v="2025-09-12T00:00:00"/>
    <d v="2025-10-20T00:00:00"/>
    <s v="No"/>
    <s v="Valid"/>
    <s v="No"/>
    <s v="No"/>
    <x v="0"/>
    <x v="301"/>
    <s v="Pending"/>
    <n v="66"/>
    <x v="2"/>
  </r>
  <r>
    <s v="DBR0519"/>
    <x v="1"/>
    <x v="2"/>
    <d v="2025-10-20T00:00:00"/>
    <d v="2025-12-03T00:00:00"/>
    <s v="No"/>
    <s v="Deficient"/>
    <s v="Yes"/>
    <s v="Yes"/>
    <x v="0"/>
    <x v="302"/>
    <s v="Paid"/>
    <n v="81"/>
    <x v="3"/>
  </r>
  <r>
    <s v="DBR0520"/>
    <x v="0"/>
    <x v="4"/>
    <d v="2025-04-17T00:00:00"/>
    <d v="2025-05-21T00:00:00"/>
    <s v="No"/>
    <s v="Deficient"/>
    <s v="Yes"/>
    <s v="Yes"/>
    <x v="0"/>
    <x v="303"/>
    <s v="Paid"/>
    <n v="74"/>
    <x v="2"/>
  </r>
  <r>
    <s v="DBR0521"/>
    <x v="2"/>
    <x v="1"/>
    <d v="2025-11-11T00:00:00"/>
    <d v="2025-12-19T00:00:00"/>
    <s v="No"/>
    <s v="Valid"/>
    <s v="No"/>
    <s v="No"/>
    <x v="0"/>
    <x v="304"/>
    <s v="Paid"/>
    <n v="61"/>
    <x v="2"/>
  </r>
  <r>
    <s v="DBR0522"/>
    <x v="1"/>
    <x v="2"/>
    <d v="2025-02-03T00:00:00"/>
    <d v="2025-03-07T00:00:00"/>
    <s v="No"/>
    <s v="Valid"/>
    <s v="No"/>
    <s v="No"/>
    <x v="0"/>
    <x v="305"/>
    <s v="Paid"/>
    <n v="63"/>
    <x v="2"/>
  </r>
  <r>
    <s v="DBR0523"/>
    <x v="4"/>
    <x v="0"/>
    <d v="2025-02-06T00:00:00"/>
    <d v="2025-03-13T00:00:00"/>
    <s v="No"/>
    <s v="Deficient"/>
    <s v="Yes"/>
    <s v="Yes"/>
    <x v="0"/>
    <x v="306"/>
    <s v="Paid"/>
    <n v="63"/>
    <x v="1"/>
  </r>
  <r>
    <s v="DBR0524"/>
    <x v="1"/>
    <x v="1"/>
    <d v="2025-12-15T00:00:00"/>
    <d v="2026-01-28T00:00:00"/>
    <s v="No"/>
    <s v="Valid"/>
    <s v="No"/>
    <s v="No"/>
    <x v="0"/>
    <x v="307"/>
    <s v="Pending"/>
    <n v="49"/>
    <x v="1"/>
  </r>
  <r>
    <s v="DBR0525"/>
    <x v="3"/>
    <x v="4"/>
    <d v="2025-02-12T00:00:00"/>
    <d v="2025-03-29T00:00:00"/>
    <s v="No"/>
    <s v="Rejected"/>
    <s v="No"/>
    <s v="No"/>
    <x v="1"/>
    <x v="2"/>
    <s v="Not Applicable"/>
    <n v="53"/>
    <x v="1"/>
  </r>
  <r>
    <s v="DBR0526"/>
    <x v="5"/>
    <x v="3"/>
    <d v="2025-12-25T00:00:00"/>
    <d v="2025-12-27T00:00:00"/>
    <s v="Yes"/>
    <s v="Deficient"/>
    <s v="Yes"/>
    <s v="Yes"/>
    <x v="0"/>
    <x v="308"/>
    <s v="Paid"/>
    <n v="13"/>
    <x v="3"/>
  </r>
  <r>
    <s v="DBR0527"/>
    <x v="2"/>
    <x v="2"/>
    <d v="2025-09-15T00:00:00"/>
    <d v="2025-10-09T00:00:00"/>
    <s v="Yes"/>
    <s v="Valid"/>
    <s v="No"/>
    <s v="No"/>
    <x v="0"/>
    <x v="309"/>
    <s v="Paid"/>
    <n v="59"/>
    <x v="2"/>
  </r>
  <r>
    <s v="DBR0528"/>
    <x v="5"/>
    <x v="4"/>
    <d v="2025-08-01T00:00:00"/>
    <d v="2025-08-03T00:00:00"/>
    <s v="Yes"/>
    <s v="Deficient"/>
    <s v="Yes"/>
    <s v="No"/>
    <x v="1"/>
    <x v="2"/>
    <s v="Not Applicable"/>
    <n v="40"/>
    <x v="1"/>
  </r>
  <r>
    <s v="DBR0529"/>
    <x v="2"/>
    <x v="2"/>
    <d v="2025-04-03T00:00:00"/>
    <d v="2025-05-15T00:00:00"/>
    <s v="No"/>
    <s v="Deficient"/>
    <s v="Yes"/>
    <s v="No"/>
    <x v="1"/>
    <x v="2"/>
    <s v="Not Applicable"/>
    <n v="81"/>
    <x v="1"/>
  </r>
  <r>
    <s v="DBR0530"/>
    <x v="4"/>
    <x v="4"/>
    <d v="2025-03-09T00:00:00"/>
    <d v="2025-04-03T00:00:00"/>
    <s v="Yes"/>
    <s v="Rejected"/>
    <s v="No"/>
    <s v="No"/>
    <x v="1"/>
    <x v="2"/>
    <s v="Not Applicable"/>
    <n v="48"/>
    <x v="3"/>
  </r>
  <r>
    <s v="DBR0531"/>
    <x v="1"/>
    <x v="1"/>
    <d v="2025-12-20T00:00:00"/>
    <d v="2026-01-31T00:00:00"/>
    <s v="No"/>
    <s v="Rejected"/>
    <s v="No"/>
    <s v="No"/>
    <x v="1"/>
    <x v="2"/>
    <s v="Not Applicable"/>
    <n v="56"/>
    <x v="1"/>
  </r>
  <r>
    <s v="DBR0532"/>
    <x v="3"/>
    <x v="4"/>
    <d v="2025-11-25T00:00:00"/>
    <d v="2026-01-06T00:00:00"/>
    <s v="No"/>
    <s v="Valid"/>
    <s v="No"/>
    <s v="No"/>
    <x v="0"/>
    <x v="310"/>
    <s v="Paid"/>
    <n v="61"/>
    <x v="2"/>
  </r>
  <r>
    <s v="DBR0533"/>
    <x v="0"/>
    <x v="3"/>
    <d v="2025-07-13T00:00:00"/>
    <d v="2025-08-19T00:00:00"/>
    <s v="No"/>
    <s v="Valid"/>
    <s v="No"/>
    <s v="No"/>
    <x v="0"/>
    <x v="311"/>
    <s v="Paid"/>
    <n v="57"/>
    <x v="1"/>
  </r>
  <r>
    <s v="DBR0534"/>
    <x v="5"/>
    <x v="4"/>
    <d v="2025-10-17T00:00:00"/>
    <d v="2025-10-29T00:00:00"/>
    <s v="Yes"/>
    <s v="Deficient"/>
    <s v="Yes"/>
    <s v="Yes"/>
    <x v="0"/>
    <x v="312"/>
    <s v="Paid"/>
    <n v="36"/>
    <x v="0"/>
  </r>
  <r>
    <s v="DBR0535"/>
    <x v="3"/>
    <x v="4"/>
    <d v="2025-08-21T00:00:00"/>
    <d v="2025-08-26T00:00:00"/>
    <s v="Yes"/>
    <s v="Deficient"/>
    <s v="Yes"/>
    <s v="Yes"/>
    <x v="0"/>
    <x v="313"/>
    <s v="Paid"/>
    <n v="27"/>
    <x v="3"/>
  </r>
  <r>
    <s v="DBR0536"/>
    <x v="1"/>
    <x v="0"/>
    <d v="2025-01-13T00:00:00"/>
    <d v="2025-02-05T00:00:00"/>
    <s v="Yes"/>
    <s v="Rejected"/>
    <s v="No"/>
    <s v="No"/>
    <x v="1"/>
    <x v="2"/>
    <s v="Not Applicable"/>
    <n v="39"/>
    <x v="0"/>
  </r>
  <r>
    <s v="DBR0537"/>
    <x v="1"/>
    <x v="4"/>
    <d v="2025-09-11T00:00:00"/>
    <d v="2025-09-19T00:00:00"/>
    <s v="Yes"/>
    <s v="Deficient"/>
    <s v="Yes"/>
    <s v="Yes"/>
    <x v="0"/>
    <x v="314"/>
    <s v="Pending"/>
    <n v="25"/>
    <x v="2"/>
  </r>
  <r>
    <s v="DBR0538"/>
    <x v="4"/>
    <x v="3"/>
    <d v="2025-08-18T00:00:00"/>
    <d v="2025-08-24T00:00:00"/>
    <s v="Yes"/>
    <s v="Deficient"/>
    <s v="Yes"/>
    <s v="Yes"/>
    <x v="0"/>
    <x v="315"/>
    <s v="Paid"/>
    <n v="46"/>
    <x v="1"/>
  </r>
  <r>
    <s v="DBR0539"/>
    <x v="1"/>
    <x v="0"/>
    <d v="2025-07-07T00:00:00"/>
    <d v="2025-07-20T00:00:00"/>
    <s v="Yes"/>
    <s v="Rejected"/>
    <s v="No"/>
    <s v="No"/>
    <x v="1"/>
    <x v="2"/>
    <s v="Not Applicable"/>
    <n v="27"/>
    <x v="2"/>
  </r>
  <r>
    <s v="DBR0540"/>
    <x v="0"/>
    <x v="3"/>
    <d v="2025-03-06T00:00:00"/>
    <d v="2025-03-15T00:00:00"/>
    <s v="Yes"/>
    <s v="Rejected"/>
    <s v="No"/>
    <s v="No"/>
    <x v="1"/>
    <x v="2"/>
    <s v="Not Applicable"/>
    <n v="19"/>
    <x v="1"/>
  </r>
  <r>
    <s v="DBR0541"/>
    <x v="0"/>
    <x v="1"/>
    <d v="2025-10-15T00:00:00"/>
    <d v="2025-11-06T00:00:00"/>
    <s v="Yes"/>
    <s v="Deficient"/>
    <s v="Yes"/>
    <s v="Yes"/>
    <x v="0"/>
    <x v="316"/>
    <s v="Paid"/>
    <n v="27"/>
    <x v="1"/>
  </r>
  <r>
    <s v="DBR0542"/>
    <x v="3"/>
    <x v="3"/>
    <d v="2025-05-23T00:00:00"/>
    <d v="2025-06-13T00:00:00"/>
    <s v="Yes"/>
    <s v="Valid"/>
    <s v="No"/>
    <s v="No"/>
    <x v="0"/>
    <x v="317"/>
    <s v="Paid"/>
    <n v="39"/>
    <x v="2"/>
  </r>
  <r>
    <s v="DBR0543"/>
    <x v="2"/>
    <x v="0"/>
    <d v="2025-07-18T00:00:00"/>
    <d v="2025-08-04T00:00:00"/>
    <s v="Yes"/>
    <s v="Deficient"/>
    <s v="Yes"/>
    <s v="Yes"/>
    <x v="0"/>
    <x v="318"/>
    <s v="Pending"/>
    <n v="25"/>
    <x v="0"/>
  </r>
  <r>
    <s v="DBR0544"/>
    <x v="0"/>
    <x v="2"/>
    <d v="2025-08-12T00:00:00"/>
    <d v="2025-09-04T00:00:00"/>
    <s v="Yes"/>
    <s v="Deficient"/>
    <s v="Yes"/>
    <s v="Yes"/>
    <x v="0"/>
    <x v="319"/>
    <s v="Paid"/>
    <n v="29"/>
    <x v="1"/>
  </r>
  <r>
    <s v="DBR0545"/>
    <x v="5"/>
    <x v="2"/>
    <d v="2025-03-05T00:00:00"/>
    <d v="2025-03-11T00:00:00"/>
    <s v="Yes"/>
    <s v="Valid"/>
    <s v="No"/>
    <s v="No"/>
    <x v="0"/>
    <x v="320"/>
    <s v="Paid"/>
    <n v="40"/>
    <x v="3"/>
  </r>
  <r>
    <s v="DBR0546"/>
    <x v="4"/>
    <x v="4"/>
    <d v="2025-07-19T00:00:00"/>
    <d v="2025-08-08T00:00:00"/>
    <s v="Yes"/>
    <s v="Deficient"/>
    <s v="Yes"/>
    <s v="Yes"/>
    <x v="0"/>
    <x v="321"/>
    <s v="Paid"/>
    <n v="33"/>
    <x v="3"/>
  </r>
  <r>
    <s v="DBR0547"/>
    <x v="4"/>
    <x v="1"/>
    <d v="2025-09-23T00:00:00"/>
    <d v="2025-11-01T00:00:00"/>
    <s v="No"/>
    <s v="Deficient"/>
    <s v="Yes"/>
    <s v="Yes"/>
    <x v="0"/>
    <x v="322"/>
    <s v="Paid"/>
    <n v="47"/>
    <x v="0"/>
  </r>
  <r>
    <s v="DBR0548"/>
    <x v="3"/>
    <x v="0"/>
    <d v="2025-04-12T00:00:00"/>
    <d v="2025-04-17T00:00:00"/>
    <s v="Yes"/>
    <s v="Deficient"/>
    <s v="Yes"/>
    <s v="Yes"/>
    <x v="0"/>
    <x v="323"/>
    <s v="Paid"/>
    <n v="27"/>
    <x v="0"/>
  </r>
  <r>
    <s v="DBR0549"/>
    <x v="3"/>
    <x v="1"/>
    <d v="2025-03-10T00:00:00"/>
    <d v="2025-04-16T00:00:00"/>
    <s v="No"/>
    <s v="Deficient"/>
    <s v="Yes"/>
    <s v="No"/>
    <x v="1"/>
    <x v="2"/>
    <s v="Not Applicable"/>
    <n v="74"/>
    <x v="0"/>
  </r>
  <r>
    <s v="DBR0550"/>
    <x v="0"/>
    <x v="0"/>
    <d v="2025-02-04T00:00:00"/>
    <d v="2025-02-19T00:00:00"/>
    <s v="Yes"/>
    <s v="Valid"/>
    <s v="No"/>
    <s v="No"/>
    <x v="0"/>
    <x v="324"/>
    <s v="Paid"/>
    <n v="48"/>
    <x v="1"/>
  </r>
  <r>
    <s v="DBR0551"/>
    <x v="5"/>
    <x v="1"/>
    <d v="2025-01-16T00:00:00"/>
    <d v="2025-02-28T00:00:00"/>
    <s v="No"/>
    <s v="Valid"/>
    <s v="No"/>
    <s v="No"/>
    <x v="0"/>
    <x v="325"/>
    <s v="Paid"/>
    <n v="52"/>
    <x v="1"/>
  </r>
  <r>
    <s v="DBR0552"/>
    <x v="2"/>
    <x v="3"/>
    <d v="2025-08-27T00:00:00"/>
    <d v="2025-09-12T00:00:00"/>
    <s v="Yes"/>
    <s v="Valid"/>
    <s v="No"/>
    <s v="No"/>
    <x v="0"/>
    <x v="326"/>
    <s v="Paid"/>
    <n v="53"/>
    <x v="1"/>
  </r>
  <r>
    <s v="DBR0553"/>
    <x v="2"/>
    <x v="1"/>
    <d v="2025-01-05T00:00:00"/>
    <d v="2025-02-17T00:00:00"/>
    <s v="No"/>
    <s v="Valid"/>
    <s v="No"/>
    <s v="No"/>
    <x v="0"/>
    <x v="327"/>
    <s v="Pending"/>
    <n v="56"/>
    <x v="2"/>
  </r>
  <r>
    <s v="DBR0554"/>
    <x v="2"/>
    <x v="1"/>
    <d v="2025-09-08T00:00:00"/>
    <d v="2025-10-09T00:00:00"/>
    <s v="No"/>
    <s v="Deficient"/>
    <s v="Yes"/>
    <s v="Yes"/>
    <x v="0"/>
    <x v="328"/>
    <s v="Paid"/>
    <n v="55"/>
    <x v="1"/>
  </r>
  <r>
    <s v="DBR0555"/>
    <x v="1"/>
    <x v="1"/>
    <d v="2025-04-16T00:00:00"/>
    <d v="2025-04-21T00:00:00"/>
    <s v="Yes"/>
    <s v="Deficient"/>
    <s v="Yes"/>
    <s v="Yes"/>
    <x v="0"/>
    <x v="329"/>
    <s v="Paid"/>
    <n v="40"/>
    <x v="1"/>
  </r>
  <r>
    <s v="DBR0556"/>
    <x v="4"/>
    <x v="1"/>
    <d v="2025-05-16T00:00:00"/>
    <d v="2025-05-29T00:00:00"/>
    <s v="Yes"/>
    <s v="Rejected"/>
    <s v="No"/>
    <s v="No"/>
    <x v="1"/>
    <x v="2"/>
    <s v="Not Applicable"/>
    <n v="38"/>
    <x v="1"/>
  </r>
  <r>
    <s v="DBR0557"/>
    <x v="1"/>
    <x v="2"/>
    <d v="2025-06-09T00:00:00"/>
    <d v="2025-06-10T00:00:00"/>
    <s v="Yes"/>
    <s v="Rejected"/>
    <s v="No"/>
    <s v="No"/>
    <x v="1"/>
    <x v="2"/>
    <s v="Not Applicable"/>
    <n v="36"/>
    <x v="0"/>
  </r>
  <r>
    <s v="DBR0558"/>
    <x v="2"/>
    <x v="3"/>
    <d v="2025-08-04T00:00:00"/>
    <d v="2025-08-19T00:00:00"/>
    <s v="Yes"/>
    <s v="Valid"/>
    <s v="No"/>
    <s v="No"/>
    <x v="0"/>
    <x v="330"/>
    <s v="Paid"/>
    <n v="52"/>
    <x v="2"/>
  </r>
  <r>
    <s v="DBR0559"/>
    <x v="0"/>
    <x v="0"/>
    <d v="2025-09-20T00:00:00"/>
    <d v="2025-10-04T00:00:00"/>
    <s v="Yes"/>
    <s v="Valid"/>
    <s v="No"/>
    <s v="No"/>
    <x v="0"/>
    <x v="331"/>
    <s v="Pending"/>
    <n v="34"/>
    <x v="3"/>
  </r>
  <r>
    <s v="DBR0560"/>
    <x v="4"/>
    <x v="0"/>
    <d v="2025-12-26T00:00:00"/>
    <d v="2026-01-12T00:00:00"/>
    <s v="Yes"/>
    <s v="Deficient"/>
    <s v="Yes"/>
    <s v="Yes"/>
    <x v="0"/>
    <x v="332"/>
    <s v="Paid"/>
    <n v="47"/>
    <x v="3"/>
  </r>
  <r>
    <s v="DBR0561"/>
    <x v="5"/>
    <x v="3"/>
    <d v="2025-09-17T00:00:00"/>
    <d v="2025-10-03T00:00:00"/>
    <s v="Yes"/>
    <s v="Rejected"/>
    <s v="No"/>
    <s v="No"/>
    <x v="1"/>
    <x v="2"/>
    <s v="Not Applicable"/>
    <n v="28"/>
    <x v="0"/>
  </r>
  <r>
    <s v="DBR0562"/>
    <x v="2"/>
    <x v="2"/>
    <d v="2025-01-08T00:00:00"/>
    <d v="2025-01-17T00:00:00"/>
    <s v="Yes"/>
    <s v="Deficient"/>
    <s v="Yes"/>
    <s v="Yes"/>
    <x v="0"/>
    <x v="333"/>
    <s v="Pending"/>
    <n v="29"/>
    <x v="1"/>
  </r>
  <r>
    <s v="DBR0563"/>
    <x v="3"/>
    <x v="4"/>
    <d v="2025-06-21T00:00:00"/>
    <d v="2025-07-25T00:00:00"/>
    <s v="No"/>
    <s v="Deficient"/>
    <s v="Yes"/>
    <s v="Yes"/>
    <x v="0"/>
    <x v="334"/>
    <s v="Paid"/>
    <n v="58"/>
    <x v="1"/>
  </r>
  <r>
    <s v="DBR0564"/>
    <x v="3"/>
    <x v="4"/>
    <d v="2025-10-07T00:00:00"/>
    <d v="2025-11-04T00:00:00"/>
    <s v="Yes"/>
    <s v="Valid"/>
    <s v="No"/>
    <s v="No"/>
    <x v="0"/>
    <x v="335"/>
    <s v="Paid"/>
    <n v="35"/>
    <x v="3"/>
  </r>
  <r>
    <s v="DBR0565"/>
    <x v="3"/>
    <x v="4"/>
    <d v="2025-04-08T00:00:00"/>
    <d v="2025-04-15T00:00:00"/>
    <s v="Yes"/>
    <s v="Deficient"/>
    <s v="Yes"/>
    <s v="Yes"/>
    <x v="0"/>
    <x v="336"/>
    <s v="Paid"/>
    <n v="15"/>
    <x v="2"/>
  </r>
  <r>
    <s v="DBR0566"/>
    <x v="2"/>
    <x v="3"/>
    <d v="2025-06-19T00:00:00"/>
    <d v="2025-07-27T00:00:00"/>
    <s v="No"/>
    <s v="Deficient"/>
    <s v="Yes"/>
    <s v="Yes"/>
    <x v="0"/>
    <x v="337"/>
    <s v="Paid"/>
    <n v="71"/>
    <x v="3"/>
  </r>
  <r>
    <s v="DBR0567"/>
    <x v="4"/>
    <x v="1"/>
    <d v="2025-04-27T00:00:00"/>
    <d v="2025-06-08T00:00:00"/>
    <s v="No"/>
    <s v="Rejected"/>
    <s v="No"/>
    <s v="No"/>
    <x v="1"/>
    <x v="2"/>
    <s v="Not Applicable"/>
    <n v="61"/>
    <x v="1"/>
  </r>
  <r>
    <s v="DBR0568"/>
    <x v="4"/>
    <x v="1"/>
    <d v="2025-04-17T00:00:00"/>
    <d v="2025-05-03T00:00:00"/>
    <s v="Yes"/>
    <s v="Valid"/>
    <s v="No"/>
    <s v="No"/>
    <x v="0"/>
    <x v="338"/>
    <s v="Paid"/>
    <n v="33"/>
    <x v="3"/>
  </r>
  <r>
    <s v="DBR0569"/>
    <x v="5"/>
    <x v="4"/>
    <d v="2025-01-17T00:00:00"/>
    <d v="2025-02-20T00:00:00"/>
    <s v="No"/>
    <s v="Valid"/>
    <s v="No"/>
    <s v="No"/>
    <x v="0"/>
    <x v="339"/>
    <s v="Paid"/>
    <n v="71"/>
    <x v="1"/>
  </r>
  <r>
    <s v="DBR0570"/>
    <x v="1"/>
    <x v="4"/>
    <d v="2025-04-21T00:00:00"/>
    <d v="2025-05-21T00:00:00"/>
    <s v="Yes"/>
    <s v="Deficient"/>
    <s v="Yes"/>
    <s v="No"/>
    <x v="1"/>
    <x v="2"/>
    <s v="Not Applicable"/>
    <n v="70"/>
    <x v="1"/>
  </r>
  <r>
    <s v="DBR0571"/>
    <x v="2"/>
    <x v="4"/>
    <d v="2025-09-17T00:00:00"/>
    <d v="2025-09-23T00:00:00"/>
    <s v="Yes"/>
    <s v="Deficient"/>
    <s v="Yes"/>
    <s v="No"/>
    <x v="1"/>
    <x v="2"/>
    <s v="Not Applicable"/>
    <n v="33"/>
    <x v="0"/>
  </r>
  <r>
    <s v="DBR0572"/>
    <x v="5"/>
    <x v="4"/>
    <d v="2025-12-22T00:00:00"/>
    <d v="2026-01-19T00:00:00"/>
    <s v="Yes"/>
    <s v="Rejected"/>
    <s v="No"/>
    <s v="No"/>
    <x v="1"/>
    <x v="2"/>
    <s v="Not Applicable"/>
    <n v="36"/>
    <x v="1"/>
  </r>
  <r>
    <s v="DBR0573"/>
    <x v="3"/>
    <x v="2"/>
    <d v="2025-02-15T00:00:00"/>
    <d v="2025-02-19T00:00:00"/>
    <s v="Yes"/>
    <s v="Rejected"/>
    <s v="No"/>
    <s v="No"/>
    <x v="1"/>
    <x v="2"/>
    <s v="Not Applicable"/>
    <n v="21"/>
    <x v="3"/>
  </r>
  <r>
    <s v="DBR0574"/>
    <x v="3"/>
    <x v="1"/>
    <d v="2025-09-25T00:00:00"/>
    <d v="2025-10-21T00:00:00"/>
    <s v="Yes"/>
    <s v="Deficient"/>
    <s v="Yes"/>
    <s v="Yes"/>
    <x v="0"/>
    <x v="340"/>
    <s v="Paid"/>
    <n v="55"/>
    <x v="1"/>
  </r>
  <r>
    <s v="DBR0575"/>
    <x v="1"/>
    <x v="4"/>
    <d v="2025-03-26T00:00:00"/>
    <d v="2025-04-30T00:00:00"/>
    <s v="No"/>
    <s v="Valid"/>
    <s v="No"/>
    <s v="No"/>
    <x v="0"/>
    <x v="341"/>
    <s v="Paid"/>
    <n v="68"/>
    <x v="0"/>
  </r>
  <r>
    <s v="DBR0576"/>
    <x v="4"/>
    <x v="2"/>
    <d v="2025-02-21T00:00:00"/>
    <d v="2025-04-01T00:00:00"/>
    <s v="No"/>
    <s v="Deficient"/>
    <s v="Yes"/>
    <s v="No"/>
    <x v="1"/>
    <x v="2"/>
    <s v="Not Applicable"/>
    <n v="59"/>
    <x v="3"/>
  </r>
  <r>
    <s v="DBR0577"/>
    <x v="3"/>
    <x v="4"/>
    <d v="2025-03-13T00:00:00"/>
    <d v="2025-04-18T00:00:00"/>
    <s v="No"/>
    <s v="Deficient"/>
    <s v="Yes"/>
    <s v="Yes"/>
    <x v="0"/>
    <x v="342"/>
    <s v="Pending"/>
    <n v="51"/>
    <x v="3"/>
  </r>
  <r>
    <s v="DBR0578"/>
    <x v="0"/>
    <x v="2"/>
    <d v="2025-11-17T00:00:00"/>
    <d v="2025-12-08T00:00:00"/>
    <s v="Yes"/>
    <s v="Valid"/>
    <s v="No"/>
    <s v="No"/>
    <x v="0"/>
    <x v="343"/>
    <s v="Paid"/>
    <n v="31"/>
    <x v="2"/>
  </r>
  <r>
    <s v="DBR0579"/>
    <x v="0"/>
    <x v="3"/>
    <d v="2025-01-22T00:00:00"/>
    <d v="2025-03-05T00:00:00"/>
    <s v="No"/>
    <s v="Rejected"/>
    <s v="No"/>
    <s v="No"/>
    <x v="1"/>
    <x v="2"/>
    <s v="Not Applicable"/>
    <n v="47"/>
    <x v="3"/>
  </r>
  <r>
    <s v="DBR0580"/>
    <x v="4"/>
    <x v="4"/>
    <d v="2025-12-13T00:00:00"/>
    <d v="2026-01-19T00:00:00"/>
    <s v="No"/>
    <s v="Deficient"/>
    <s v="Yes"/>
    <s v="No"/>
    <x v="1"/>
    <x v="2"/>
    <s v="Not Applicable"/>
    <n v="57"/>
    <x v="0"/>
  </r>
  <r>
    <s v="DBR0581"/>
    <x v="1"/>
    <x v="0"/>
    <d v="2025-09-23T00:00:00"/>
    <d v="2025-10-09T00:00:00"/>
    <s v="Yes"/>
    <s v="Rejected"/>
    <s v="No"/>
    <s v="No"/>
    <x v="1"/>
    <x v="2"/>
    <s v="Not Applicable"/>
    <n v="37"/>
    <x v="3"/>
  </r>
  <r>
    <s v="DBR0582"/>
    <x v="0"/>
    <x v="1"/>
    <d v="2025-03-23T00:00:00"/>
    <d v="2025-04-30T00:00:00"/>
    <s v="No"/>
    <s v="Rejected"/>
    <s v="No"/>
    <s v="No"/>
    <x v="1"/>
    <x v="2"/>
    <s v="Not Applicable"/>
    <n v="77"/>
    <x v="2"/>
  </r>
  <r>
    <s v="DBR0583"/>
    <x v="2"/>
    <x v="0"/>
    <d v="2025-10-13T00:00:00"/>
    <d v="2025-11-20T00:00:00"/>
    <s v="No"/>
    <s v="Rejected"/>
    <s v="No"/>
    <s v="No"/>
    <x v="1"/>
    <x v="2"/>
    <s v="Not Applicable"/>
    <n v="54"/>
    <x v="0"/>
  </r>
  <r>
    <s v="DBR0584"/>
    <x v="1"/>
    <x v="0"/>
    <d v="2025-06-05T00:00:00"/>
    <d v="2025-07-10T00:00:00"/>
    <s v="No"/>
    <s v="Rejected"/>
    <s v="No"/>
    <s v="No"/>
    <x v="1"/>
    <x v="2"/>
    <s v="Not Applicable"/>
    <n v="69"/>
    <x v="2"/>
  </r>
  <r>
    <s v="DBR0585"/>
    <x v="4"/>
    <x v="2"/>
    <d v="2025-03-27T00:00:00"/>
    <d v="2025-04-06T00:00:00"/>
    <s v="Yes"/>
    <s v="Deficient"/>
    <s v="Yes"/>
    <s v="No"/>
    <x v="1"/>
    <x v="2"/>
    <s v="Not Applicable"/>
    <n v="26"/>
    <x v="0"/>
  </r>
  <r>
    <s v="DBR0586"/>
    <x v="5"/>
    <x v="1"/>
    <d v="2025-08-27T00:00:00"/>
    <d v="2025-09-18T00:00:00"/>
    <s v="Yes"/>
    <s v="Valid"/>
    <s v="No"/>
    <s v="No"/>
    <x v="0"/>
    <x v="344"/>
    <s v="Pending"/>
    <n v="43"/>
    <x v="2"/>
  </r>
  <r>
    <s v="DBR0587"/>
    <x v="0"/>
    <x v="1"/>
    <d v="2025-04-26T00:00:00"/>
    <d v="2025-06-06T00:00:00"/>
    <s v="No"/>
    <s v="Valid"/>
    <s v="No"/>
    <s v="No"/>
    <x v="0"/>
    <x v="345"/>
    <s v="Paid"/>
    <n v="56"/>
    <x v="2"/>
  </r>
  <r>
    <s v="DBR0588"/>
    <x v="0"/>
    <x v="3"/>
    <d v="2025-05-12T00:00:00"/>
    <d v="2025-06-24T00:00:00"/>
    <s v="No"/>
    <s v="Rejected"/>
    <s v="No"/>
    <s v="No"/>
    <x v="1"/>
    <x v="2"/>
    <s v="Not Applicable"/>
    <n v="58"/>
    <x v="3"/>
  </r>
  <r>
    <s v="DBR0589"/>
    <x v="2"/>
    <x v="3"/>
    <d v="2025-11-24T00:00:00"/>
    <d v="2025-12-05T00:00:00"/>
    <s v="Yes"/>
    <s v="Valid"/>
    <s v="No"/>
    <s v="No"/>
    <x v="0"/>
    <x v="346"/>
    <s v="Paid"/>
    <n v="48"/>
    <x v="3"/>
  </r>
  <r>
    <s v="DBR0590"/>
    <x v="2"/>
    <x v="1"/>
    <d v="2025-09-24T00:00:00"/>
    <d v="2025-09-28T00:00:00"/>
    <s v="Yes"/>
    <s v="Valid"/>
    <s v="No"/>
    <s v="No"/>
    <x v="0"/>
    <x v="347"/>
    <s v="Pending"/>
    <n v="42"/>
    <x v="0"/>
  </r>
  <r>
    <s v="DBR0591"/>
    <x v="5"/>
    <x v="3"/>
    <d v="2025-12-06T00:00:00"/>
    <d v="2026-01-09T00:00:00"/>
    <s v="No"/>
    <s v="Valid"/>
    <s v="No"/>
    <s v="No"/>
    <x v="0"/>
    <x v="348"/>
    <s v="Paid"/>
    <n v="42"/>
    <x v="3"/>
  </r>
  <r>
    <s v="DBR0592"/>
    <x v="0"/>
    <x v="2"/>
    <d v="2025-10-27T00:00:00"/>
    <d v="2025-11-08T00:00:00"/>
    <s v="Yes"/>
    <s v="Deficient"/>
    <s v="Yes"/>
    <s v="No"/>
    <x v="1"/>
    <x v="2"/>
    <s v="Not Applicable"/>
    <n v="26"/>
    <x v="1"/>
  </r>
  <r>
    <s v="DBR0593"/>
    <x v="5"/>
    <x v="3"/>
    <d v="2025-07-12T00:00:00"/>
    <d v="2025-08-14T00:00:00"/>
    <s v="No"/>
    <s v="Rejected"/>
    <s v="No"/>
    <s v="No"/>
    <x v="1"/>
    <x v="2"/>
    <s v="Not Applicable"/>
    <n v="63"/>
    <x v="0"/>
  </r>
  <r>
    <s v="DBR0594"/>
    <x v="3"/>
    <x v="3"/>
    <d v="2025-03-01T00:00:00"/>
    <d v="2025-04-08T00:00:00"/>
    <s v="No"/>
    <s v="Valid"/>
    <s v="No"/>
    <s v="No"/>
    <x v="0"/>
    <x v="349"/>
    <s v="Pending"/>
    <n v="70"/>
    <x v="3"/>
  </r>
  <r>
    <s v="DBR0595"/>
    <x v="1"/>
    <x v="3"/>
    <d v="2025-01-15T00:00:00"/>
    <d v="2025-02-18T00:00:00"/>
    <s v="No"/>
    <s v="Valid"/>
    <s v="No"/>
    <s v="No"/>
    <x v="0"/>
    <x v="350"/>
    <s v="Pending"/>
    <n v="58"/>
    <x v="3"/>
  </r>
  <r>
    <s v="DBR0596"/>
    <x v="1"/>
    <x v="2"/>
    <d v="2025-01-06T00:00:00"/>
    <d v="2025-02-20T00:00:00"/>
    <s v="No"/>
    <s v="Deficient"/>
    <s v="Yes"/>
    <s v="Yes"/>
    <x v="0"/>
    <x v="351"/>
    <s v="Paid"/>
    <n v="50"/>
    <x v="0"/>
  </r>
  <r>
    <s v="DBR0597"/>
    <x v="0"/>
    <x v="2"/>
    <d v="2025-01-20T00:00:00"/>
    <d v="2025-01-29T00:00:00"/>
    <s v="Yes"/>
    <s v="Deficient"/>
    <s v="Yes"/>
    <s v="No"/>
    <x v="1"/>
    <x v="2"/>
    <s v="Not Applicable"/>
    <n v="23"/>
    <x v="3"/>
  </r>
  <r>
    <s v="DBR0598"/>
    <x v="0"/>
    <x v="0"/>
    <d v="2025-04-01T00:00:00"/>
    <d v="2025-04-07T00:00:00"/>
    <s v="Yes"/>
    <s v="Valid"/>
    <s v="No"/>
    <s v="No"/>
    <x v="0"/>
    <x v="352"/>
    <s v="Paid"/>
    <n v="41"/>
    <x v="2"/>
  </r>
  <r>
    <s v="DBR0599"/>
    <x v="5"/>
    <x v="1"/>
    <d v="2025-11-16T00:00:00"/>
    <d v="2025-11-29T00:00:00"/>
    <s v="Yes"/>
    <s v="Rejected"/>
    <s v="No"/>
    <s v="No"/>
    <x v="1"/>
    <x v="2"/>
    <s v="Not Applicable"/>
    <n v="51"/>
    <x v="3"/>
  </r>
  <r>
    <s v="DBR0600"/>
    <x v="4"/>
    <x v="3"/>
    <d v="2025-12-01T00:00:00"/>
    <d v="2026-01-01T00:00:00"/>
    <s v="No"/>
    <s v="Deficient"/>
    <s v="Yes"/>
    <s v="No"/>
    <x v="1"/>
    <x v="2"/>
    <s v="Not Applicable"/>
    <n v="43"/>
    <x v="0"/>
  </r>
  <r>
    <s v="DBR0601"/>
    <x v="0"/>
    <x v="2"/>
    <d v="2025-05-15T00:00:00"/>
    <d v="2025-06-11T00:00:00"/>
    <s v="Yes"/>
    <s v="Deficient"/>
    <s v="Yes"/>
    <s v="Yes"/>
    <x v="0"/>
    <x v="353"/>
    <s v="Paid"/>
    <n v="56"/>
    <x v="2"/>
  </r>
  <r>
    <s v="DBR0602"/>
    <x v="5"/>
    <x v="1"/>
    <d v="2025-08-16T00:00:00"/>
    <d v="2025-09-18T00:00:00"/>
    <s v="No"/>
    <s v="Valid"/>
    <s v="No"/>
    <s v="No"/>
    <x v="0"/>
    <x v="354"/>
    <s v="Paid"/>
    <n v="43"/>
    <x v="3"/>
  </r>
  <r>
    <s v="DBR0603"/>
    <x v="2"/>
    <x v="4"/>
    <d v="2025-03-23T00:00:00"/>
    <d v="2025-03-24T00:00:00"/>
    <s v="Yes"/>
    <s v="Rejected"/>
    <s v="No"/>
    <s v="No"/>
    <x v="1"/>
    <x v="2"/>
    <s v="Not Applicable"/>
    <n v="21"/>
    <x v="1"/>
  </r>
  <r>
    <s v="DBR0604"/>
    <x v="0"/>
    <x v="0"/>
    <d v="2025-11-02T00:00:00"/>
    <d v="2025-11-29T00:00:00"/>
    <s v="Yes"/>
    <s v="Valid"/>
    <s v="No"/>
    <s v="No"/>
    <x v="0"/>
    <x v="355"/>
    <s v="Paid"/>
    <n v="60"/>
    <x v="3"/>
  </r>
  <r>
    <s v="DBR0605"/>
    <x v="3"/>
    <x v="0"/>
    <d v="2025-07-27T00:00:00"/>
    <d v="2025-08-31T00:00:00"/>
    <s v="No"/>
    <s v="Valid"/>
    <s v="No"/>
    <s v="No"/>
    <x v="0"/>
    <x v="356"/>
    <s v="Paid"/>
    <n v="44"/>
    <x v="2"/>
  </r>
  <r>
    <s v="DBR0606"/>
    <x v="4"/>
    <x v="4"/>
    <d v="2025-08-28T00:00:00"/>
    <d v="2025-09-05T00:00:00"/>
    <s v="Yes"/>
    <s v="Deficient"/>
    <s v="Yes"/>
    <s v="Yes"/>
    <x v="0"/>
    <x v="357"/>
    <s v="Paid"/>
    <n v="42"/>
    <x v="3"/>
  </r>
  <r>
    <s v="DBR0607"/>
    <x v="1"/>
    <x v="3"/>
    <d v="2025-12-16T00:00:00"/>
    <d v="2025-12-21T00:00:00"/>
    <s v="Yes"/>
    <s v="Deficient"/>
    <s v="Yes"/>
    <s v="Yes"/>
    <x v="0"/>
    <x v="358"/>
    <s v="Paid"/>
    <n v="38"/>
    <x v="2"/>
  </r>
  <r>
    <s v="DBR0608"/>
    <x v="5"/>
    <x v="0"/>
    <d v="2025-06-07T00:00:00"/>
    <d v="2025-06-21T00:00:00"/>
    <s v="Yes"/>
    <s v="Rejected"/>
    <s v="No"/>
    <s v="No"/>
    <x v="1"/>
    <x v="2"/>
    <s v="Not Applicable"/>
    <n v="19"/>
    <x v="1"/>
  </r>
  <r>
    <s v="DBR0609"/>
    <x v="3"/>
    <x v="3"/>
    <d v="2025-07-17T00:00:00"/>
    <d v="2025-08-09T00:00:00"/>
    <s v="Yes"/>
    <s v="Deficient"/>
    <s v="Yes"/>
    <s v="No"/>
    <x v="1"/>
    <x v="2"/>
    <s v="Not Applicable"/>
    <n v="30"/>
    <x v="1"/>
  </r>
  <r>
    <s v="DBR0610"/>
    <x v="1"/>
    <x v="4"/>
    <d v="2025-06-23T00:00:00"/>
    <d v="2025-07-08T00:00:00"/>
    <s v="Yes"/>
    <s v="Valid"/>
    <s v="No"/>
    <s v="No"/>
    <x v="0"/>
    <x v="359"/>
    <s v="Paid"/>
    <n v="23"/>
    <x v="2"/>
  </r>
  <r>
    <s v="DBR0611"/>
    <x v="3"/>
    <x v="0"/>
    <d v="2025-01-17T00:00:00"/>
    <d v="2025-02-01T00:00:00"/>
    <s v="Yes"/>
    <s v="Rejected"/>
    <s v="No"/>
    <s v="No"/>
    <x v="1"/>
    <x v="2"/>
    <s v="Not Applicable"/>
    <n v="36"/>
    <x v="3"/>
  </r>
  <r>
    <s v="DBR0612"/>
    <x v="2"/>
    <x v="1"/>
    <d v="2025-06-03T00:00:00"/>
    <d v="2025-07-18T00:00:00"/>
    <s v="No"/>
    <s v="Deficient"/>
    <s v="Yes"/>
    <s v="No"/>
    <x v="1"/>
    <x v="2"/>
    <s v="Not Applicable"/>
    <n v="66"/>
    <x v="3"/>
  </r>
  <r>
    <s v="DBR0613"/>
    <x v="1"/>
    <x v="4"/>
    <d v="2025-04-03T00:00:00"/>
    <d v="2025-05-16T00:00:00"/>
    <s v="No"/>
    <s v="Valid"/>
    <s v="No"/>
    <s v="No"/>
    <x v="0"/>
    <x v="360"/>
    <s v="Paid"/>
    <n v="80"/>
    <x v="0"/>
  </r>
  <r>
    <s v="DBR0614"/>
    <x v="3"/>
    <x v="1"/>
    <d v="2025-05-18T00:00:00"/>
    <d v="2025-06-08T00:00:00"/>
    <s v="Yes"/>
    <s v="Deficient"/>
    <s v="Yes"/>
    <s v="Yes"/>
    <x v="0"/>
    <x v="361"/>
    <s v="Paid"/>
    <n v="28"/>
    <x v="2"/>
  </r>
  <r>
    <s v="DBR0615"/>
    <x v="3"/>
    <x v="4"/>
    <d v="2025-11-15T00:00:00"/>
    <d v="2025-12-05T00:00:00"/>
    <s v="Yes"/>
    <s v="Deficient"/>
    <s v="Yes"/>
    <s v="Yes"/>
    <x v="0"/>
    <x v="362"/>
    <s v="Paid"/>
    <n v="55"/>
    <x v="0"/>
  </r>
  <r>
    <s v="DBR0616"/>
    <x v="1"/>
    <x v="1"/>
    <d v="2025-01-14T00:00:00"/>
    <d v="2025-02-10T00:00:00"/>
    <s v="Yes"/>
    <s v="Valid"/>
    <s v="No"/>
    <s v="No"/>
    <x v="0"/>
    <x v="363"/>
    <s v="Paid"/>
    <n v="65"/>
    <x v="1"/>
  </r>
  <r>
    <s v="DBR0617"/>
    <x v="2"/>
    <x v="3"/>
    <d v="2025-12-05T00:00:00"/>
    <d v="2025-12-31T00:00:00"/>
    <s v="Yes"/>
    <s v="Rejected"/>
    <s v="No"/>
    <s v="No"/>
    <x v="1"/>
    <x v="2"/>
    <s v="Not Applicable"/>
    <n v="50"/>
    <x v="0"/>
  </r>
  <r>
    <s v="DBR0618"/>
    <x v="4"/>
    <x v="3"/>
    <d v="2025-09-23T00:00:00"/>
    <d v="2025-10-05T00:00:00"/>
    <s v="Yes"/>
    <s v="Rejected"/>
    <s v="No"/>
    <s v="No"/>
    <x v="1"/>
    <x v="2"/>
    <s v="Not Applicable"/>
    <n v="49"/>
    <x v="0"/>
  </r>
  <r>
    <s v="DBR0619"/>
    <x v="1"/>
    <x v="3"/>
    <d v="2025-03-20T00:00:00"/>
    <d v="2025-04-24T00:00:00"/>
    <s v="No"/>
    <s v="Deficient"/>
    <s v="Yes"/>
    <s v="Yes"/>
    <x v="0"/>
    <x v="364"/>
    <s v="Paid"/>
    <n v="61"/>
    <x v="0"/>
  </r>
  <r>
    <s v="DBR0620"/>
    <x v="4"/>
    <x v="4"/>
    <d v="2025-07-14T00:00:00"/>
    <d v="2025-08-18T00:00:00"/>
    <s v="No"/>
    <s v="Valid"/>
    <s v="No"/>
    <s v="No"/>
    <x v="0"/>
    <x v="365"/>
    <s v="Paid"/>
    <n v="72"/>
    <x v="3"/>
  </r>
  <r>
    <s v="DBR0621"/>
    <x v="3"/>
    <x v="0"/>
    <d v="2025-09-10T00:00:00"/>
    <d v="2025-09-14T00:00:00"/>
    <s v="Yes"/>
    <s v="Valid"/>
    <s v="No"/>
    <s v="No"/>
    <x v="0"/>
    <x v="366"/>
    <s v="Paid"/>
    <n v="14"/>
    <x v="3"/>
  </r>
  <r>
    <s v="DBR0622"/>
    <x v="5"/>
    <x v="4"/>
    <d v="2025-09-28T00:00:00"/>
    <d v="2025-11-08T00:00:00"/>
    <s v="No"/>
    <s v="Valid"/>
    <s v="No"/>
    <s v="No"/>
    <x v="0"/>
    <x v="367"/>
    <s v="Paid"/>
    <n v="65"/>
    <x v="1"/>
  </r>
  <r>
    <s v="DBR0623"/>
    <x v="5"/>
    <x v="1"/>
    <d v="2025-08-07T00:00:00"/>
    <d v="2025-08-23T00:00:00"/>
    <s v="Yes"/>
    <s v="Deficient"/>
    <s v="Yes"/>
    <s v="Yes"/>
    <x v="0"/>
    <x v="368"/>
    <s v="Paid"/>
    <n v="52"/>
    <x v="0"/>
  </r>
  <r>
    <s v="DBR0624"/>
    <x v="5"/>
    <x v="0"/>
    <d v="2025-05-10T00:00:00"/>
    <d v="2025-06-17T00:00:00"/>
    <s v="No"/>
    <s v="Deficient"/>
    <s v="Yes"/>
    <s v="No"/>
    <x v="1"/>
    <x v="2"/>
    <s v="Not Applicable"/>
    <n v="66"/>
    <x v="0"/>
  </r>
  <r>
    <s v="DBR0625"/>
    <x v="3"/>
    <x v="1"/>
    <d v="2025-09-04T00:00:00"/>
    <d v="2025-09-28T00:00:00"/>
    <s v="Yes"/>
    <s v="Valid"/>
    <s v="No"/>
    <s v="No"/>
    <x v="0"/>
    <x v="369"/>
    <s v="Paid"/>
    <n v="48"/>
    <x v="1"/>
  </r>
  <r>
    <s v="DBR0626"/>
    <x v="3"/>
    <x v="3"/>
    <d v="2025-09-11T00:00:00"/>
    <d v="2025-09-22T00:00:00"/>
    <s v="Yes"/>
    <s v="Valid"/>
    <s v="No"/>
    <s v="No"/>
    <x v="0"/>
    <x v="370"/>
    <s v="Pending"/>
    <n v="34"/>
    <x v="1"/>
  </r>
  <r>
    <s v="DBR0627"/>
    <x v="3"/>
    <x v="4"/>
    <d v="2025-11-11T00:00:00"/>
    <d v="2025-12-18T00:00:00"/>
    <s v="No"/>
    <s v="Rejected"/>
    <s v="No"/>
    <s v="No"/>
    <x v="1"/>
    <x v="2"/>
    <s v="Not Applicable"/>
    <n v="68"/>
    <x v="0"/>
  </r>
  <r>
    <s v="DBR0628"/>
    <x v="5"/>
    <x v="4"/>
    <d v="2025-07-27T00:00:00"/>
    <d v="2025-08-09T00:00:00"/>
    <s v="Yes"/>
    <s v="Rejected"/>
    <s v="No"/>
    <s v="No"/>
    <x v="1"/>
    <x v="2"/>
    <s v="Not Applicable"/>
    <n v="37"/>
    <x v="1"/>
  </r>
  <r>
    <s v="DBR0629"/>
    <x v="0"/>
    <x v="4"/>
    <d v="2025-05-04T00:00:00"/>
    <d v="2025-05-20T00:00:00"/>
    <s v="Yes"/>
    <s v="Deficient"/>
    <s v="Yes"/>
    <s v="Yes"/>
    <x v="0"/>
    <x v="371"/>
    <s v="Paid"/>
    <n v="31"/>
    <x v="1"/>
  </r>
  <r>
    <s v="DBR0630"/>
    <x v="4"/>
    <x v="2"/>
    <d v="2025-10-01T00:00:00"/>
    <d v="2025-10-20T00:00:00"/>
    <s v="Yes"/>
    <s v="Valid"/>
    <s v="No"/>
    <s v="No"/>
    <x v="0"/>
    <x v="372"/>
    <s v="Paid"/>
    <n v="36"/>
    <x v="1"/>
  </r>
  <r>
    <s v="DBR0631"/>
    <x v="5"/>
    <x v="2"/>
    <d v="2025-11-27T00:00:00"/>
    <d v="2025-12-11T00:00:00"/>
    <s v="Yes"/>
    <s v="Rejected"/>
    <s v="No"/>
    <s v="No"/>
    <x v="1"/>
    <x v="2"/>
    <s v="Not Applicable"/>
    <n v="39"/>
    <x v="1"/>
  </r>
  <r>
    <s v="DBR0632"/>
    <x v="0"/>
    <x v="0"/>
    <d v="2025-11-07T00:00:00"/>
    <d v="2025-12-10T00:00:00"/>
    <s v="No"/>
    <s v="Rejected"/>
    <s v="No"/>
    <s v="No"/>
    <x v="1"/>
    <x v="2"/>
    <s v="Not Applicable"/>
    <n v="58"/>
    <x v="3"/>
  </r>
  <r>
    <s v="DBR0633"/>
    <x v="3"/>
    <x v="4"/>
    <d v="2025-01-14T00:00:00"/>
    <d v="2025-01-27T00:00:00"/>
    <s v="Yes"/>
    <s v="Rejected"/>
    <s v="No"/>
    <s v="No"/>
    <x v="1"/>
    <x v="2"/>
    <s v="Not Applicable"/>
    <n v="45"/>
    <x v="2"/>
  </r>
  <r>
    <s v="DBR0634"/>
    <x v="4"/>
    <x v="0"/>
    <d v="2025-03-16T00:00:00"/>
    <d v="2025-04-15T00:00:00"/>
    <s v="Yes"/>
    <s v="Rejected"/>
    <s v="No"/>
    <s v="No"/>
    <x v="1"/>
    <x v="2"/>
    <s v="Not Applicable"/>
    <n v="41"/>
    <x v="1"/>
  </r>
  <r>
    <s v="DBR0635"/>
    <x v="5"/>
    <x v="2"/>
    <d v="2025-06-07T00:00:00"/>
    <d v="2025-07-06T00:00:00"/>
    <s v="Yes"/>
    <s v="Valid"/>
    <s v="No"/>
    <s v="No"/>
    <x v="0"/>
    <x v="373"/>
    <s v="Paid"/>
    <n v="65"/>
    <x v="2"/>
  </r>
  <r>
    <s v="DBR0636"/>
    <x v="0"/>
    <x v="1"/>
    <d v="2025-05-07T00:00:00"/>
    <d v="2025-06-19T00:00:00"/>
    <s v="No"/>
    <s v="Deficient"/>
    <s v="Yes"/>
    <s v="No"/>
    <x v="1"/>
    <x v="2"/>
    <s v="Not Applicable"/>
    <n v="81"/>
    <x v="2"/>
  </r>
  <r>
    <s v="DBR0637"/>
    <x v="1"/>
    <x v="4"/>
    <d v="2025-01-13T00:00:00"/>
    <d v="2025-02-16T00:00:00"/>
    <s v="No"/>
    <s v="Deficient"/>
    <s v="Yes"/>
    <s v="No"/>
    <x v="1"/>
    <x v="2"/>
    <s v="Not Applicable"/>
    <n v="40"/>
    <x v="1"/>
  </r>
  <r>
    <s v="DBR0638"/>
    <x v="4"/>
    <x v="0"/>
    <d v="2025-01-16T00:00:00"/>
    <d v="2025-01-23T00:00:00"/>
    <s v="Yes"/>
    <s v="Deficient"/>
    <s v="Yes"/>
    <s v="Yes"/>
    <x v="0"/>
    <x v="374"/>
    <s v="Paid"/>
    <n v="44"/>
    <x v="0"/>
  </r>
  <r>
    <s v="DBR0639"/>
    <x v="2"/>
    <x v="2"/>
    <d v="2025-05-27T00:00:00"/>
    <d v="2025-06-05T00:00:00"/>
    <s v="Yes"/>
    <s v="Valid"/>
    <s v="No"/>
    <s v="No"/>
    <x v="0"/>
    <x v="375"/>
    <s v="Paid"/>
    <n v="15"/>
    <x v="3"/>
  </r>
  <r>
    <s v="DBR0640"/>
    <x v="0"/>
    <x v="2"/>
    <d v="2025-01-28T00:00:00"/>
    <d v="2025-03-01T00:00:00"/>
    <s v="No"/>
    <s v="Rejected"/>
    <s v="No"/>
    <s v="No"/>
    <x v="1"/>
    <x v="2"/>
    <s v="Not Applicable"/>
    <n v="51"/>
    <x v="1"/>
  </r>
  <r>
    <s v="DBR0641"/>
    <x v="2"/>
    <x v="1"/>
    <d v="2025-06-08T00:00:00"/>
    <d v="2025-07-15T00:00:00"/>
    <s v="No"/>
    <s v="Rejected"/>
    <s v="No"/>
    <s v="No"/>
    <x v="1"/>
    <x v="2"/>
    <s v="Not Applicable"/>
    <n v="74"/>
    <x v="2"/>
  </r>
  <r>
    <s v="DBR0642"/>
    <x v="4"/>
    <x v="3"/>
    <d v="2025-02-18T00:00:00"/>
    <d v="2025-03-10T00:00:00"/>
    <s v="Yes"/>
    <s v="Valid"/>
    <s v="No"/>
    <s v="No"/>
    <x v="0"/>
    <x v="376"/>
    <s v="Paid"/>
    <n v="60"/>
    <x v="2"/>
  </r>
  <r>
    <s v="DBR0643"/>
    <x v="0"/>
    <x v="4"/>
    <d v="2025-09-24T00:00:00"/>
    <d v="2025-10-08T00:00:00"/>
    <s v="Yes"/>
    <s v="Deficient"/>
    <s v="Yes"/>
    <s v="Yes"/>
    <x v="0"/>
    <x v="377"/>
    <s v="Paid"/>
    <n v="47"/>
    <x v="2"/>
  </r>
  <r>
    <s v="DBR0644"/>
    <x v="3"/>
    <x v="3"/>
    <d v="2025-05-24T00:00:00"/>
    <d v="2025-06-18T00:00:00"/>
    <s v="Yes"/>
    <s v="Rejected"/>
    <s v="No"/>
    <s v="No"/>
    <x v="1"/>
    <x v="2"/>
    <s v="Not Applicable"/>
    <n v="65"/>
    <x v="3"/>
  </r>
  <r>
    <s v="DBR0645"/>
    <x v="5"/>
    <x v="2"/>
    <d v="2025-02-08T00:00:00"/>
    <d v="2025-03-01T00:00:00"/>
    <s v="Yes"/>
    <s v="Deficient"/>
    <s v="Yes"/>
    <s v="Yes"/>
    <x v="0"/>
    <x v="378"/>
    <s v="Paid"/>
    <n v="46"/>
    <x v="3"/>
  </r>
  <r>
    <s v="DBR0646"/>
    <x v="3"/>
    <x v="0"/>
    <d v="2025-07-04T00:00:00"/>
    <d v="2025-07-28T00:00:00"/>
    <s v="Yes"/>
    <s v="Rejected"/>
    <s v="No"/>
    <s v="No"/>
    <x v="1"/>
    <x v="2"/>
    <s v="Not Applicable"/>
    <n v="39"/>
    <x v="2"/>
  </r>
  <r>
    <s v="DBR0647"/>
    <x v="4"/>
    <x v="1"/>
    <d v="2025-02-18T00:00:00"/>
    <d v="2025-02-28T00:00:00"/>
    <s v="Yes"/>
    <s v="Rejected"/>
    <s v="No"/>
    <s v="No"/>
    <x v="1"/>
    <x v="2"/>
    <s v="Not Applicable"/>
    <n v="34"/>
    <x v="1"/>
  </r>
  <r>
    <s v="DBR0648"/>
    <x v="5"/>
    <x v="3"/>
    <d v="2025-08-12T00:00:00"/>
    <d v="2025-09-24T00:00:00"/>
    <s v="No"/>
    <s v="Valid"/>
    <s v="No"/>
    <s v="No"/>
    <x v="0"/>
    <x v="379"/>
    <s v="Pending"/>
    <n v="56"/>
    <x v="1"/>
  </r>
  <r>
    <s v="DBR0649"/>
    <x v="3"/>
    <x v="2"/>
    <d v="2025-09-08T00:00:00"/>
    <d v="2025-09-17T00:00:00"/>
    <s v="Yes"/>
    <s v="Valid"/>
    <s v="No"/>
    <s v="No"/>
    <x v="0"/>
    <x v="380"/>
    <s v="Paid"/>
    <n v="38"/>
    <x v="0"/>
  </r>
  <r>
    <s v="DBR0650"/>
    <x v="2"/>
    <x v="3"/>
    <d v="2025-02-28T00:00:00"/>
    <d v="2025-03-06T00:00:00"/>
    <s v="Yes"/>
    <s v="Valid"/>
    <s v="No"/>
    <s v="No"/>
    <x v="0"/>
    <x v="381"/>
    <s v="Paid"/>
    <n v="29"/>
    <x v="3"/>
  </r>
  <r>
    <s v="DBR0651"/>
    <x v="1"/>
    <x v="1"/>
    <d v="2025-03-05T00:00:00"/>
    <d v="2025-03-30T00:00:00"/>
    <s v="Yes"/>
    <s v="Deficient"/>
    <s v="Yes"/>
    <s v="Yes"/>
    <x v="0"/>
    <x v="382"/>
    <s v="Paid"/>
    <n v="50"/>
    <x v="2"/>
  </r>
  <r>
    <s v="DBR0652"/>
    <x v="1"/>
    <x v="3"/>
    <d v="2025-02-08T00:00:00"/>
    <d v="2025-02-24T00:00:00"/>
    <s v="Yes"/>
    <s v="Rejected"/>
    <s v="No"/>
    <s v="No"/>
    <x v="1"/>
    <x v="2"/>
    <s v="Not Applicable"/>
    <n v="31"/>
    <x v="1"/>
  </r>
  <r>
    <s v="DBR0653"/>
    <x v="3"/>
    <x v="1"/>
    <d v="2025-08-03T00:00:00"/>
    <d v="2025-09-07T00:00:00"/>
    <s v="No"/>
    <s v="Valid"/>
    <s v="No"/>
    <s v="No"/>
    <x v="0"/>
    <x v="383"/>
    <s v="Paid"/>
    <n v="68"/>
    <x v="2"/>
  </r>
  <r>
    <s v="DBR0654"/>
    <x v="3"/>
    <x v="0"/>
    <d v="2025-07-04T00:00:00"/>
    <d v="2025-07-10T00:00:00"/>
    <s v="Yes"/>
    <s v="Valid"/>
    <s v="No"/>
    <s v="No"/>
    <x v="0"/>
    <x v="384"/>
    <s v="Pending"/>
    <n v="26"/>
    <x v="3"/>
  </r>
  <r>
    <s v="DBR0655"/>
    <x v="2"/>
    <x v="1"/>
    <d v="2025-12-25T00:00:00"/>
    <d v="2026-01-13T00:00:00"/>
    <s v="Yes"/>
    <s v="Valid"/>
    <s v="No"/>
    <s v="No"/>
    <x v="0"/>
    <x v="385"/>
    <s v="Paid"/>
    <n v="53"/>
    <x v="0"/>
  </r>
  <r>
    <s v="DBR0656"/>
    <x v="3"/>
    <x v="3"/>
    <d v="2025-03-17T00:00:00"/>
    <d v="2025-04-12T00:00:00"/>
    <s v="Yes"/>
    <s v="Valid"/>
    <s v="No"/>
    <s v="No"/>
    <x v="0"/>
    <x v="386"/>
    <s v="Paid"/>
    <n v="62"/>
    <x v="1"/>
  </r>
  <r>
    <s v="DBR0657"/>
    <x v="0"/>
    <x v="2"/>
    <d v="2025-10-23T00:00:00"/>
    <d v="2025-11-21T00:00:00"/>
    <s v="Yes"/>
    <s v="Rejected"/>
    <s v="No"/>
    <s v="No"/>
    <x v="1"/>
    <x v="2"/>
    <s v="Not Applicable"/>
    <n v="48"/>
    <x v="0"/>
  </r>
  <r>
    <s v="DBR0658"/>
    <x v="3"/>
    <x v="1"/>
    <d v="2025-02-21T00:00:00"/>
    <d v="2025-03-20T00:00:00"/>
    <s v="Yes"/>
    <s v="Rejected"/>
    <s v="No"/>
    <s v="No"/>
    <x v="1"/>
    <x v="2"/>
    <s v="Not Applicable"/>
    <n v="65"/>
    <x v="3"/>
  </r>
  <r>
    <s v="DBR0659"/>
    <x v="3"/>
    <x v="3"/>
    <d v="2025-12-18T00:00:00"/>
    <d v="2026-01-05T00:00:00"/>
    <s v="Yes"/>
    <s v="Rejected"/>
    <s v="No"/>
    <s v="No"/>
    <x v="1"/>
    <x v="2"/>
    <s v="Not Applicable"/>
    <n v="26"/>
    <x v="3"/>
  </r>
  <r>
    <s v="DBR0660"/>
    <x v="0"/>
    <x v="1"/>
    <d v="2025-02-23T00:00:00"/>
    <d v="2025-04-08T00:00:00"/>
    <s v="No"/>
    <s v="Deficient"/>
    <s v="Yes"/>
    <s v="No"/>
    <x v="1"/>
    <x v="2"/>
    <s v="Not Applicable"/>
    <n v="54"/>
    <x v="1"/>
  </r>
  <r>
    <s v="DBR0661"/>
    <x v="1"/>
    <x v="3"/>
    <d v="2025-04-28T00:00:00"/>
    <d v="2025-06-07T00:00:00"/>
    <s v="No"/>
    <s v="Rejected"/>
    <s v="No"/>
    <s v="No"/>
    <x v="1"/>
    <x v="2"/>
    <s v="Not Applicable"/>
    <n v="48"/>
    <x v="1"/>
  </r>
  <r>
    <s v="DBR0662"/>
    <x v="3"/>
    <x v="0"/>
    <d v="2025-06-27T00:00:00"/>
    <d v="2025-08-09T00:00:00"/>
    <s v="No"/>
    <s v="Valid"/>
    <s v="No"/>
    <s v="No"/>
    <x v="0"/>
    <x v="387"/>
    <s v="Paid"/>
    <n v="50"/>
    <x v="2"/>
  </r>
  <r>
    <s v="DBR0663"/>
    <x v="0"/>
    <x v="1"/>
    <d v="2025-08-13T00:00:00"/>
    <d v="2025-09-10T00:00:00"/>
    <s v="Yes"/>
    <s v="Rejected"/>
    <s v="No"/>
    <s v="No"/>
    <x v="1"/>
    <x v="2"/>
    <s v="Not Applicable"/>
    <n v="52"/>
    <x v="2"/>
  </r>
  <r>
    <s v="DBR0664"/>
    <x v="5"/>
    <x v="3"/>
    <d v="2025-10-05T00:00:00"/>
    <d v="2025-10-21T00:00:00"/>
    <s v="Yes"/>
    <s v="Rejected"/>
    <s v="No"/>
    <s v="No"/>
    <x v="1"/>
    <x v="2"/>
    <s v="Not Applicable"/>
    <n v="21"/>
    <x v="3"/>
  </r>
  <r>
    <s v="DBR0665"/>
    <x v="2"/>
    <x v="1"/>
    <d v="2025-11-12T00:00:00"/>
    <d v="2025-12-14T00:00:00"/>
    <s v="No"/>
    <s v="Deficient"/>
    <s v="Yes"/>
    <s v="Yes"/>
    <x v="0"/>
    <x v="388"/>
    <s v="Paid"/>
    <n v="63"/>
    <x v="1"/>
  </r>
  <r>
    <s v="DBR0666"/>
    <x v="4"/>
    <x v="4"/>
    <d v="2025-09-06T00:00:00"/>
    <d v="2025-10-01T00:00:00"/>
    <s v="Yes"/>
    <s v="Rejected"/>
    <s v="No"/>
    <s v="No"/>
    <x v="1"/>
    <x v="2"/>
    <s v="Not Applicable"/>
    <n v="31"/>
    <x v="1"/>
  </r>
  <r>
    <s v="DBR0667"/>
    <x v="0"/>
    <x v="1"/>
    <d v="2025-01-18T00:00:00"/>
    <d v="2025-01-27T00:00:00"/>
    <s v="Yes"/>
    <s v="Rejected"/>
    <s v="No"/>
    <s v="No"/>
    <x v="1"/>
    <x v="2"/>
    <s v="Not Applicable"/>
    <n v="31"/>
    <x v="3"/>
  </r>
  <r>
    <s v="DBR0668"/>
    <x v="3"/>
    <x v="2"/>
    <d v="2025-02-07T00:00:00"/>
    <d v="2025-02-27T00:00:00"/>
    <s v="Yes"/>
    <s v="Valid"/>
    <s v="No"/>
    <s v="No"/>
    <x v="0"/>
    <x v="389"/>
    <s v="Paid"/>
    <n v="51"/>
    <x v="0"/>
  </r>
  <r>
    <s v="DBR0669"/>
    <x v="0"/>
    <x v="3"/>
    <d v="2025-05-17T00:00:00"/>
    <d v="2025-05-24T00:00:00"/>
    <s v="Yes"/>
    <s v="Deficient"/>
    <s v="Yes"/>
    <s v="No"/>
    <x v="1"/>
    <x v="2"/>
    <s v="Not Applicable"/>
    <n v="39"/>
    <x v="1"/>
  </r>
  <r>
    <s v="DBR0670"/>
    <x v="5"/>
    <x v="1"/>
    <d v="2025-12-05T00:00:00"/>
    <d v="2026-01-09T00:00:00"/>
    <s v="No"/>
    <s v="Rejected"/>
    <s v="No"/>
    <s v="No"/>
    <x v="1"/>
    <x v="2"/>
    <s v="Not Applicable"/>
    <n v="66"/>
    <x v="3"/>
  </r>
  <r>
    <s v="DBR0671"/>
    <x v="5"/>
    <x v="0"/>
    <d v="2025-05-12T00:00:00"/>
    <d v="2025-06-25T00:00:00"/>
    <s v="No"/>
    <s v="Deficient"/>
    <s v="Yes"/>
    <s v="No"/>
    <x v="1"/>
    <x v="2"/>
    <s v="Not Applicable"/>
    <n v="78"/>
    <x v="2"/>
  </r>
  <r>
    <s v="DBR0672"/>
    <x v="4"/>
    <x v="3"/>
    <d v="2025-11-14T00:00:00"/>
    <d v="2025-12-07T00:00:00"/>
    <s v="Yes"/>
    <s v="Rejected"/>
    <s v="No"/>
    <s v="No"/>
    <x v="1"/>
    <x v="2"/>
    <s v="Not Applicable"/>
    <n v="31"/>
    <x v="2"/>
  </r>
  <r>
    <s v="DBR0673"/>
    <x v="0"/>
    <x v="4"/>
    <d v="2025-11-25T00:00:00"/>
    <d v="2025-12-02T00:00:00"/>
    <s v="Yes"/>
    <s v="Deficient"/>
    <s v="Yes"/>
    <s v="Yes"/>
    <x v="0"/>
    <x v="390"/>
    <s v="Pending"/>
    <n v="44"/>
    <x v="3"/>
  </r>
  <r>
    <s v="DBR0674"/>
    <x v="5"/>
    <x v="1"/>
    <d v="2025-05-08T00:00:00"/>
    <d v="2025-05-24T00:00:00"/>
    <s v="Yes"/>
    <s v="Valid"/>
    <s v="No"/>
    <s v="No"/>
    <x v="0"/>
    <x v="391"/>
    <s v="Paid"/>
    <n v="30"/>
    <x v="1"/>
  </r>
  <r>
    <s v="DBR0675"/>
    <x v="4"/>
    <x v="2"/>
    <d v="2025-05-04T00:00:00"/>
    <d v="2025-05-11T00:00:00"/>
    <s v="Yes"/>
    <s v="Deficient"/>
    <s v="Yes"/>
    <s v="Yes"/>
    <x v="0"/>
    <x v="392"/>
    <s v="Paid"/>
    <n v="45"/>
    <x v="3"/>
  </r>
  <r>
    <s v="DBR0676"/>
    <x v="2"/>
    <x v="0"/>
    <d v="2025-01-22T00:00:00"/>
    <d v="2025-02-11T00:00:00"/>
    <s v="Yes"/>
    <s v="Valid"/>
    <s v="No"/>
    <s v="No"/>
    <x v="0"/>
    <x v="393"/>
    <s v="Paid"/>
    <n v="49"/>
    <x v="1"/>
  </r>
  <r>
    <s v="DBR0677"/>
    <x v="5"/>
    <x v="0"/>
    <d v="2025-04-08T00:00:00"/>
    <d v="2025-05-04T00:00:00"/>
    <s v="Yes"/>
    <s v="Deficient"/>
    <s v="Yes"/>
    <s v="Yes"/>
    <x v="0"/>
    <x v="394"/>
    <s v="Paid"/>
    <n v="38"/>
    <x v="3"/>
  </r>
  <r>
    <s v="DBR0678"/>
    <x v="4"/>
    <x v="0"/>
    <d v="2025-06-22T00:00:00"/>
    <d v="2025-07-21T00:00:00"/>
    <s v="Yes"/>
    <s v="Valid"/>
    <s v="No"/>
    <s v="No"/>
    <x v="0"/>
    <x v="395"/>
    <s v="Paid"/>
    <n v="67"/>
    <x v="1"/>
  </r>
  <r>
    <s v="DBR0679"/>
    <x v="1"/>
    <x v="1"/>
    <d v="2025-02-04T00:00:00"/>
    <d v="2025-03-19T00:00:00"/>
    <s v="No"/>
    <s v="Rejected"/>
    <s v="No"/>
    <s v="No"/>
    <x v="1"/>
    <x v="2"/>
    <s v="Not Applicable"/>
    <n v="80"/>
    <x v="0"/>
  </r>
  <r>
    <s v="DBR0680"/>
    <x v="5"/>
    <x v="2"/>
    <d v="2025-07-09T00:00:00"/>
    <d v="2025-07-18T00:00:00"/>
    <s v="Yes"/>
    <s v="Deficient"/>
    <s v="Yes"/>
    <s v="Yes"/>
    <x v="0"/>
    <x v="396"/>
    <s v="Paid"/>
    <n v="32"/>
    <x v="2"/>
  </r>
  <r>
    <s v="DBR0681"/>
    <x v="5"/>
    <x v="0"/>
    <d v="2025-01-26T00:00:00"/>
    <d v="2025-02-02T00:00:00"/>
    <s v="Yes"/>
    <s v="Rejected"/>
    <s v="No"/>
    <s v="No"/>
    <x v="1"/>
    <x v="2"/>
    <s v="Not Applicable"/>
    <n v="26"/>
    <x v="2"/>
  </r>
  <r>
    <s v="DBR0682"/>
    <x v="1"/>
    <x v="1"/>
    <d v="2025-06-17T00:00:00"/>
    <d v="2025-06-23T00:00:00"/>
    <s v="Yes"/>
    <s v="Rejected"/>
    <s v="No"/>
    <s v="No"/>
    <x v="1"/>
    <x v="2"/>
    <s v="Not Applicable"/>
    <n v="25"/>
    <x v="2"/>
  </r>
  <r>
    <s v="DBR0683"/>
    <x v="0"/>
    <x v="1"/>
    <d v="2025-09-19T00:00:00"/>
    <d v="2025-10-26T00:00:00"/>
    <s v="No"/>
    <s v="Deficient"/>
    <s v="Yes"/>
    <s v="Yes"/>
    <x v="0"/>
    <x v="397"/>
    <s v="Paid"/>
    <n v="70"/>
    <x v="2"/>
  </r>
  <r>
    <s v="DBR0684"/>
    <x v="1"/>
    <x v="0"/>
    <d v="2025-06-13T00:00:00"/>
    <d v="2025-07-11T00:00:00"/>
    <s v="Yes"/>
    <s v="Valid"/>
    <s v="No"/>
    <s v="No"/>
    <x v="0"/>
    <x v="398"/>
    <s v="Paid"/>
    <n v="58"/>
    <x v="3"/>
  </r>
  <r>
    <s v="DBR0685"/>
    <x v="1"/>
    <x v="3"/>
    <d v="2025-08-10T00:00:00"/>
    <d v="2025-08-16T00:00:00"/>
    <s v="Yes"/>
    <s v="Rejected"/>
    <s v="No"/>
    <s v="No"/>
    <x v="1"/>
    <x v="2"/>
    <s v="Not Applicable"/>
    <n v="34"/>
    <x v="0"/>
  </r>
  <r>
    <s v="DBR0686"/>
    <x v="1"/>
    <x v="2"/>
    <d v="2025-02-19T00:00:00"/>
    <d v="2025-04-03T00:00:00"/>
    <s v="No"/>
    <s v="Deficient"/>
    <s v="Yes"/>
    <s v="Yes"/>
    <x v="0"/>
    <x v="399"/>
    <s v="Paid"/>
    <n v="65"/>
    <x v="0"/>
  </r>
  <r>
    <s v="DBR0687"/>
    <x v="0"/>
    <x v="3"/>
    <d v="2025-09-17T00:00:00"/>
    <d v="2025-09-24T00:00:00"/>
    <s v="Yes"/>
    <s v="Deficient"/>
    <s v="Yes"/>
    <s v="Yes"/>
    <x v="0"/>
    <x v="400"/>
    <s v="Paid"/>
    <n v="34"/>
    <x v="1"/>
  </r>
  <r>
    <s v="DBR0688"/>
    <x v="3"/>
    <x v="4"/>
    <d v="2025-07-17T00:00:00"/>
    <d v="2025-08-08T00:00:00"/>
    <s v="Yes"/>
    <s v="Valid"/>
    <s v="No"/>
    <s v="No"/>
    <x v="0"/>
    <x v="401"/>
    <s v="Paid"/>
    <n v="55"/>
    <x v="2"/>
  </r>
  <r>
    <s v="DBR0689"/>
    <x v="3"/>
    <x v="2"/>
    <d v="2025-11-24T00:00:00"/>
    <d v="2026-01-05T00:00:00"/>
    <s v="No"/>
    <s v="Deficient"/>
    <s v="Yes"/>
    <s v="Yes"/>
    <x v="0"/>
    <x v="402"/>
    <s v="Paid"/>
    <n v="71"/>
    <x v="0"/>
  </r>
  <r>
    <s v="DBR0690"/>
    <x v="5"/>
    <x v="0"/>
    <d v="2025-11-22T00:00:00"/>
    <d v="2025-12-04T00:00:00"/>
    <s v="Yes"/>
    <s v="Valid"/>
    <s v="No"/>
    <s v="No"/>
    <x v="0"/>
    <x v="403"/>
    <s v="Paid"/>
    <n v="45"/>
    <x v="1"/>
  </r>
  <r>
    <s v="DBR0691"/>
    <x v="2"/>
    <x v="2"/>
    <d v="2025-06-06T00:00:00"/>
    <d v="2025-06-15T00:00:00"/>
    <s v="Yes"/>
    <s v="Deficient"/>
    <s v="Yes"/>
    <s v="No"/>
    <x v="1"/>
    <x v="2"/>
    <s v="Not Applicable"/>
    <n v="21"/>
    <x v="0"/>
  </r>
  <r>
    <s v="DBR0692"/>
    <x v="1"/>
    <x v="2"/>
    <d v="2025-04-28T00:00:00"/>
    <d v="2025-06-12T00:00:00"/>
    <s v="No"/>
    <s v="Deficient"/>
    <s v="Yes"/>
    <s v="No"/>
    <x v="1"/>
    <x v="2"/>
    <s v="Not Applicable"/>
    <n v="69"/>
    <x v="3"/>
  </r>
  <r>
    <s v="DBR0693"/>
    <x v="1"/>
    <x v="3"/>
    <d v="2025-04-23T00:00:00"/>
    <d v="2025-05-14T00:00:00"/>
    <s v="Yes"/>
    <s v="Rejected"/>
    <s v="No"/>
    <s v="No"/>
    <x v="1"/>
    <x v="2"/>
    <s v="Not Applicable"/>
    <n v="48"/>
    <x v="2"/>
  </r>
  <r>
    <s v="DBR0694"/>
    <x v="2"/>
    <x v="2"/>
    <d v="2025-07-21T00:00:00"/>
    <d v="2025-07-29T00:00:00"/>
    <s v="Yes"/>
    <s v="Rejected"/>
    <s v="No"/>
    <s v="No"/>
    <x v="1"/>
    <x v="2"/>
    <s v="Not Applicable"/>
    <n v="24"/>
    <x v="2"/>
  </r>
  <r>
    <s v="DBR0695"/>
    <x v="3"/>
    <x v="4"/>
    <d v="2025-06-11T00:00:00"/>
    <d v="2025-06-18T00:00:00"/>
    <s v="Yes"/>
    <s v="Rejected"/>
    <s v="No"/>
    <s v="No"/>
    <x v="1"/>
    <x v="2"/>
    <s v="Not Applicable"/>
    <n v="39"/>
    <x v="1"/>
  </r>
  <r>
    <s v="DBR0696"/>
    <x v="1"/>
    <x v="2"/>
    <d v="2025-11-14T00:00:00"/>
    <d v="2025-12-23T00:00:00"/>
    <s v="No"/>
    <s v="Rejected"/>
    <s v="No"/>
    <s v="No"/>
    <x v="1"/>
    <x v="2"/>
    <s v="Not Applicable"/>
    <n v="67"/>
    <x v="0"/>
  </r>
  <r>
    <s v="DBR0697"/>
    <x v="1"/>
    <x v="4"/>
    <d v="2025-08-04T00:00:00"/>
    <d v="2025-08-11T00:00:00"/>
    <s v="Yes"/>
    <s v="Deficient"/>
    <s v="Yes"/>
    <s v="Yes"/>
    <x v="0"/>
    <x v="404"/>
    <s v="Paid"/>
    <n v="20"/>
    <x v="1"/>
  </r>
  <r>
    <s v="DBR0698"/>
    <x v="3"/>
    <x v="2"/>
    <d v="2025-05-25T00:00:00"/>
    <d v="2025-07-09T00:00:00"/>
    <s v="No"/>
    <s v="Rejected"/>
    <s v="No"/>
    <s v="No"/>
    <x v="1"/>
    <x v="2"/>
    <s v="Not Applicable"/>
    <n v="83"/>
    <x v="1"/>
  </r>
  <r>
    <s v="DBR0699"/>
    <x v="2"/>
    <x v="0"/>
    <d v="2025-04-08T00:00:00"/>
    <d v="2025-05-01T00:00:00"/>
    <s v="Yes"/>
    <s v="Valid"/>
    <s v="No"/>
    <s v="No"/>
    <x v="0"/>
    <x v="405"/>
    <s v="Paid"/>
    <n v="30"/>
    <x v="1"/>
  </r>
  <r>
    <s v="DBR0700"/>
    <x v="5"/>
    <x v="0"/>
    <d v="2025-12-20T00:00:00"/>
    <d v="2025-12-25T00:00:00"/>
    <s v="Yes"/>
    <s v="Deficient"/>
    <s v="Yes"/>
    <s v="Yes"/>
    <x v="0"/>
    <x v="406"/>
    <s v="Paid"/>
    <n v="40"/>
    <x v="3"/>
  </r>
  <r>
    <s v="DBR0701"/>
    <x v="2"/>
    <x v="1"/>
    <d v="2025-10-15T00:00:00"/>
    <d v="2025-11-28T00:00:00"/>
    <s v="No"/>
    <s v="Rejected"/>
    <s v="No"/>
    <s v="No"/>
    <x v="1"/>
    <x v="2"/>
    <s v="Not Applicable"/>
    <n v="84"/>
    <x v="2"/>
  </r>
  <r>
    <s v="DBR0702"/>
    <x v="5"/>
    <x v="1"/>
    <d v="2025-04-13T00:00:00"/>
    <d v="2025-05-22T00:00:00"/>
    <s v="No"/>
    <s v="Valid"/>
    <s v="No"/>
    <s v="No"/>
    <x v="0"/>
    <x v="407"/>
    <s v="Paid"/>
    <n v="62"/>
    <x v="2"/>
  </r>
  <r>
    <s v="DBR0703"/>
    <x v="3"/>
    <x v="1"/>
    <d v="2025-09-10T00:00:00"/>
    <d v="2025-10-01T00:00:00"/>
    <s v="Yes"/>
    <s v="Rejected"/>
    <s v="No"/>
    <s v="No"/>
    <x v="1"/>
    <x v="2"/>
    <s v="Not Applicable"/>
    <n v="56"/>
    <x v="2"/>
  </r>
  <r>
    <s v="DBR0704"/>
    <x v="0"/>
    <x v="3"/>
    <d v="2025-10-05T00:00:00"/>
    <d v="2025-11-19T00:00:00"/>
    <s v="No"/>
    <s v="Valid"/>
    <s v="No"/>
    <s v="No"/>
    <x v="0"/>
    <x v="408"/>
    <s v="Paid"/>
    <n v="80"/>
    <x v="1"/>
  </r>
  <r>
    <s v="DBR0705"/>
    <x v="1"/>
    <x v="2"/>
    <d v="2025-01-10T00:00:00"/>
    <d v="2025-02-23T00:00:00"/>
    <s v="No"/>
    <s v="Rejected"/>
    <s v="No"/>
    <s v="No"/>
    <x v="1"/>
    <x v="2"/>
    <s v="Not Applicable"/>
    <n v="64"/>
    <x v="1"/>
  </r>
  <r>
    <s v="DBR0706"/>
    <x v="5"/>
    <x v="3"/>
    <d v="2025-11-19T00:00:00"/>
    <d v="2026-01-03T00:00:00"/>
    <s v="No"/>
    <s v="Rejected"/>
    <s v="No"/>
    <s v="No"/>
    <x v="1"/>
    <x v="2"/>
    <s v="Not Applicable"/>
    <n v="80"/>
    <x v="1"/>
  </r>
  <r>
    <s v="DBR0707"/>
    <x v="1"/>
    <x v="2"/>
    <d v="2025-07-07T00:00:00"/>
    <d v="2025-07-15T00:00:00"/>
    <s v="Yes"/>
    <s v="Rejected"/>
    <s v="No"/>
    <s v="No"/>
    <x v="1"/>
    <x v="2"/>
    <s v="Not Applicable"/>
    <n v="38"/>
    <x v="0"/>
  </r>
  <r>
    <s v="DBR0708"/>
    <x v="2"/>
    <x v="4"/>
    <d v="2025-11-12T00:00:00"/>
    <d v="2025-12-06T00:00:00"/>
    <s v="Yes"/>
    <s v="Valid"/>
    <s v="No"/>
    <s v="No"/>
    <x v="0"/>
    <x v="409"/>
    <s v="Paid"/>
    <n v="62"/>
    <x v="3"/>
  </r>
  <r>
    <s v="DBR0709"/>
    <x v="4"/>
    <x v="3"/>
    <d v="2025-09-08T00:00:00"/>
    <d v="2025-09-10T00:00:00"/>
    <s v="Yes"/>
    <s v="Rejected"/>
    <s v="No"/>
    <s v="No"/>
    <x v="1"/>
    <x v="2"/>
    <s v="Not Applicable"/>
    <n v="14"/>
    <x v="0"/>
  </r>
  <r>
    <s v="DBR0710"/>
    <x v="4"/>
    <x v="3"/>
    <d v="2025-04-10T00:00:00"/>
    <d v="2025-05-08T00:00:00"/>
    <s v="Yes"/>
    <s v="Deficient"/>
    <s v="Yes"/>
    <s v="Yes"/>
    <x v="0"/>
    <x v="410"/>
    <s v="Paid"/>
    <n v="51"/>
    <x v="0"/>
  </r>
  <r>
    <s v="DBR0711"/>
    <x v="4"/>
    <x v="1"/>
    <d v="2025-07-12T00:00:00"/>
    <d v="2025-08-08T00:00:00"/>
    <s v="Yes"/>
    <s v="Rejected"/>
    <s v="No"/>
    <s v="No"/>
    <x v="1"/>
    <x v="2"/>
    <s v="Not Applicable"/>
    <n v="56"/>
    <x v="3"/>
  </r>
  <r>
    <s v="DBR0712"/>
    <x v="4"/>
    <x v="1"/>
    <d v="2025-10-24T00:00:00"/>
    <d v="2025-10-25T00:00:00"/>
    <s v="Yes"/>
    <s v="Rejected"/>
    <s v="No"/>
    <s v="No"/>
    <x v="1"/>
    <x v="2"/>
    <s v="Not Applicable"/>
    <n v="37"/>
    <x v="3"/>
  </r>
  <r>
    <s v="DBR0713"/>
    <x v="5"/>
    <x v="3"/>
    <d v="2025-01-16T00:00:00"/>
    <d v="2025-02-24T00:00:00"/>
    <s v="No"/>
    <s v="Valid"/>
    <s v="No"/>
    <s v="No"/>
    <x v="0"/>
    <x v="411"/>
    <s v="Paid"/>
    <n v="66"/>
    <x v="3"/>
  </r>
  <r>
    <s v="DBR0714"/>
    <x v="3"/>
    <x v="4"/>
    <d v="2025-07-05T00:00:00"/>
    <d v="2025-07-19T00:00:00"/>
    <s v="Yes"/>
    <s v="Deficient"/>
    <s v="Yes"/>
    <s v="Yes"/>
    <x v="0"/>
    <x v="412"/>
    <s v="Pending"/>
    <n v="40"/>
    <x v="0"/>
  </r>
  <r>
    <s v="DBR0715"/>
    <x v="3"/>
    <x v="3"/>
    <d v="2025-04-02T00:00:00"/>
    <d v="2025-04-14T00:00:00"/>
    <s v="Yes"/>
    <s v="Deficient"/>
    <s v="Yes"/>
    <s v="Yes"/>
    <x v="0"/>
    <x v="413"/>
    <s v="Paid"/>
    <n v="35"/>
    <x v="1"/>
  </r>
  <r>
    <s v="DBR0716"/>
    <x v="2"/>
    <x v="2"/>
    <d v="2025-05-25T00:00:00"/>
    <d v="2025-06-14T00:00:00"/>
    <s v="Yes"/>
    <s v="Rejected"/>
    <s v="No"/>
    <s v="No"/>
    <x v="1"/>
    <x v="2"/>
    <s v="Not Applicable"/>
    <n v="37"/>
    <x v="0"/>
  </r>
  <r>
    <s v="DBR0717"/>
    <x v="0"/>
    <x v="4"/>
    <d v="2025-05-08T00:00:00"/>
    <d v="2025-06-12T00:00:00"/>
    <s v="No"/>
    <s v="Deficient"/>
    <s v="Yes"/>
    <s v="Yes"/>
    <x v="0"/>
    <x v="414"/>
    <s v="Pending"/>
    <n v="52"/>
    <x v="1"/>
  </r>
  <r>
    <s v="DBR0718"/>
    <x v="1"/>
    <x v="4"/>
    <d v="2025-09-24T00:00:00"/>
    <d v="2025-09-30T00:00:00"/>
    <s v="Yes"/>
    <s v="Rejected"/>
    <s v="No"/>
    <s v="No"/>
    <x v="1"/>
    <x v="2"/>
    <s v="Not Applicable"/>
    <n v="23"/>
    <x v="1"/>
  </r>
  <r>
    <s v="DBR0719"/>
    <x v="3"/>
    <x v="4"/>
    <d v="2025-12-26T00:00:00"/>
    <d v="2026-01-23T00:00:00"/>
    <s v="Yes"/>
    <s v="Valid"/>
    <s v="No"/>
    <s v="No"/>
    <x v="0"/>
    <x v="415"/>
    <s v="Pending"/>
    <n v="43"/>
    <x v="1"/>
  </r>
  <r>
    <s v="DBR0720"/>
    <x v="3"/>
    <x v="3"/>
    <d v="2025-04-14T00:00:00"/>
    <d v="2025-04-16T00:00:00"/>
    <s v="Yes"/>
    <s v="Rejected"/>
    <s v="No"/>
    <s v="No"/>
    <x v="1"/>
    <x v="2"/>
    <s v="Not Applicable"/>
    <n v="33"/>
    <x v="3"/>
  </r>
  <r>
    <s v="DBR0721"/>
    <x v="3"/>
    <x v="4"/>
    <d v="2025-08-15T00:00:00"/>
    <d v="2025-09-26T00:00:00"/>
    <s v="No"/>
    <s v="Rejected"/>
    <s v="No"/>
    <s v="No"/>
    <x v="1"/>
    <x v="2"/>
    <s v="Not Applicable"/>
    <n v="63"/>
    <x v="3"/>
  </r>
  <r>
    <s v="DBR0722"/>
    <x v="1"/>
    <x v="4"/>
    <d v="2025-03-10T00:00:00"/>
    <d v="2025-03-11T00:00:00"/>
    <s v="Yes"/>
    <s v="Valid"/>
    <s v="No"/>
    <s v="No"/>
    <x v="0"/>
    <x v="416"/>
    <s v="Pending"/>
    <n v="40"/>
    <x v="0"/>
  </r>
  <r>
    <s v="DBR0723"/>
    <x v="1"/>
    <x v="3"/>
    <d v="2025-09-10T00:00:00"/>
    <d v="2025-09-14T00:00:00"/>
    <s v="Yes"/>
    <s v="Rejected"/>
    <s v="No"/>
    <s v="No"/>
    <x v="1"/>
    <x v="2"/>
    <s v="Not Applicable"/>
    <n v="31"/>
    <x v="1"/>
  </r>
  <r>
    <s v="DBR0724"/>
    <x v="3"/>
    <x v="0"/>
    <d v="2025-10-02T00:00:00"/>
    <d v="2025-11-16T00:00:00"/>
    <s v="No"/>
    <s v="Valid"/>
    <s v="No"/>
    <s v="No"/>
    <x v="0"/>
    <x v="417"/>
    <s v="Paid"/>
    <n v="59"/>
    <x v="3"/>
  </r>
  <r>
    <s v="DBR0725"/>
    <x v="4"/>
    <x v="4"/>
    <d v="2025-05-07T00:00:00"/>
    <d v="2025-05-28T00:00:00"/>
    <s v="Yes"/>
    <s v="Deficient"/>
    <s v="Yes"/>
    <s v="Yes"/>
    <x v="0"/>
    <x v="418"/>
    <s v="Paid"/>
    <n v="27"/>
    <x v="3"/>
  </r>
  <r>
    <s v="DBR0726"/>
    <x v="3"/>
    <x v="2"/>
    <d v="2025-01-25T00:00:00"/>
    <d v="2025-03-10T00:00:00"/>
    <s v="No"/>
    <s v="Rejected"/>
    <s v="No"/>
    <s v="No"/>
    <x v="1"/>
    <x v="2"/>
    <s v="Not Applicable"/>
    <n v="81"/>
    <x v="1"/>
  </r>
  <r>
    <s v="DBR0727"/>
    <x v="5"/>
    <x v="2"/>
    <d v="2025-11-04T00:00:00"/>
    <d v="2025-11-06T00:00:00"/>
    <s v="Yes"/>
    <s v="Valid"/>
    <s v="No"/>
    <s v="No"/>
    <x v="0"/>
    <x v="419"/>
    <s v="Pending"/>
    <n v="7"/>
    <x v="0"/>
  </r>
  <r>
    <s v="DBR0728"/>
    <x v="4"/>
    <x v="3"/>
    <d v="2025-03-24T00:00:00"/>
    <d v="2025-03-26T00:00:00"/>
    <s v="Yes"/>
    <s v="Valid"/>
    <s v="No"/>
    <s v="No"/>
    <x v="0"/>
    <x v="420"/>
    <s v="Pending"/>
    <n v="26"/>
    <x v="1"/>
  </r>
  <r>
    <s v="DBR0729"/>
    <x v="4"/>
    <x v="1"/>
    <d v="2025-08-28T00:00:00"/>
    <d v="2025-09-22T00:00:00"/>
    <s v="Yes"/>
    <s v="Rejected"/>
    <s v="No"/>
    <s v="No"/>
    <x v="1"/>
    <x v="2"/>
    <s v="Not Applicable"/>
    <n v="37"/>
    <x v="1"/>
  </r>
  <r>
    <s v="DBR0730"/>
    <x v="1"/>
    <x v="4"/>
    <d v="2025-10-09T00:00:00"/>
    <d v="2025-10-31T00:00:00"/>
    <s v="Yes"/>
    <s v="Rejected"/>
    <s v="No"/>
    <s v="No"/>
    <x v="1"/>
    <x v="2"/>
    <s v="Not Applicable"/>
    <n v="41"/>
    <x v="0"/>
  </r>
  <r>
    <s v="DBR0731"/>
    <x v="3"/>
    <x v="4"/>
    <d v="2025-11-26T00:00:00"/>
    <d v="2026-01-01T00:00:00"/>
    <s v="No"/>
    <s v="Rejected"/>
    <s v="No"/>
    <s v="No"/>
    <x v="1"/>
    <x v="2"/>
    <s v="Not Applicable"/>
    <n v="49"/>
    <x v="0"/>
  </r>
  <r>
    <s v="DBR0732"/>
    <x v="2"/>
    <x v="1"/>
    <d v="2025-06-27T00:00:00"/>
    <d v="2025-08-03T00:00:00"/>
    <s v="No"/>
    <s v="Deficient"/>
    <s v="Yes"/>
    <s v="No"/>
    <x v="1"/>
    <x v="2"/>
    <s v="Not Applicable"/>
    <n v="72"/>
    <x v="3"/>
  </r>
  <r>
    <s v="DBR0733"/>
    <x v="3"/>
    <x v="3"/>
    <d v="2025-02-19T00:00:00"/>
    <d v="2025-03-31T00:00:00"/>
    <s v="No"/>
    <s v="Rejected"/>
    <s v="No"/>
    <s v="No"/>
    <x v="1"/>
    <x v="2"/>
    <s v="Not Applicable"/>
    <n v="46"/>
    <x v="1"/>
  </r>
  <r>
    <s v="DBR0734"/>
    <x v="3"/>
    <x v="3"/>
    <d v="2025-03-19T00:00:00"/>
    <d v="2025-03-27T00:00:00"/>
    <s v="Yes"/>
    <s v="Rejected"/>
    <s v="No"/>
    <s v="No"/>
    <x v="1"/>
    <x v="2"/>
    <s v="Not Applicable"/>
    <n v="25"/>
    <x v="0"/>
  </r>
  <r>
    <s v="DBR0735"/>
    <x v="2"/>
    <x v="1"/>
    <d v="2025-04-08T00:00:00"/>
    <d v="2025-04-18T00:00:00"/>
    <s v="Yes"/>
    <s v="Rejected"/>
    <s v="No"/>
    <s v="No"/>
    <x v="1"/>
    <x v="2"/>
    <s v="Not Applicable"/>
    <n v="35"/>
    <x v="1"/>
  </r>
  <r>
    <s v="DBR0736"/>
    <x v="0"/>
    <x v="4"/>
    <d v="2025-04-24T00:00:00"/>
    <d v="2025-05-12T00:00:00"/>
    <s v="Yes"/>
    <s v="Deficient"/>
    <s v="Yes"/>
    <s v="No"/>
    <x v="1"/>
    <x v="2"/>
    <s v="Not Applicable"/>
    <n v="41"/>
    <x v="0"/>
  </r>
  <r>
    <s v="DBR0737"/>
    <x v="5"/>
    <x v="0"/>
    <d v="2025-01-26T00:00:00"/>
    <d v="2025-03-10T00:00:00"/>
    <s v="No"/>
    <s v="Deficient"/>
    <s v="Yes"/>
    <s v="Yes"/>
    <x v="0"/>
    <x v="421"/>
    <s v="Paid"/>
    <n v="50"/>
    <x v="1"/>
  </r>
  <r>
    <s v="DBR0738"/>
    <x v="0"/>
    <x v="3"/>
    <d v="2025-05-27T00:00:00"/>
    <d v="2025-06-13T00:00:00"/>
    <s v="Yes"/>
    <s v="Rejected"/>
    <s v="No"/>
    <s v="No"/>
    <x v="1"/>
    <x v="2"/>
    <s v="Not Applicable"/>
    <n v="42"/>
    <x v="2"/>
  </r>
  <r>
    <s v="DBR0739"/>
    <x v="3"/>
    <x v="0"/>
    <d v="2025-11-01T00:00:00"/>
    <d v="2025-12-07T00:00:00"/>
    <s v="No"/>
    <s v="Valid"/>
    <s v="No"/>
    <s v="No"/>
    <x v="0"/>
    <x v="422"/>
    <s v="Paid"/>
    <n v="74"/>
    <x v="3"/>
  </r>
  <r>
    <s v="DBR0740"/>
    <x v="0"/>
    <x v="3"/>
    <d v="2025-11-24T00:00:00"/>
    <d v="2025-12-18T00:00:00"/>
    <s v="Yes"/>
    <s v="Valid"/>
    <s v="No"/>
    <s v="No"/>
    <x v="0"/>
    <x v="423"/>
    <s v="Paid"/>
    <n v="61"/>
    <x v="3"/>
  </r>
  <r>
    <s v="DBR0741"/>
    <x v="3"/>
    <x v="1"/>
    <d v="2025-02-02T00:00:00"/>
    <d v="2025-02-08T00:00:00"/>
    <s v="Yes"/>
    <s v="Valid"/>
    <s v="No"/>
    <s v="No"/>
    <x v="0"/>
    <x v="424"/>
    <s v="Paid"/>
    <n v="19"/>
    <x v="2"/>
  </r>
  <r>
    <s v="DBR0742"/>
    <x v="0"/>
    <x v="1"/>
    <d v="2025-03-27T00:00:00"/>
    <d v="2025-04-23T00:00:00"/>
    <s v="Yes"/>
    <s v="Deficient"/>
    <s v="Yes"/>
    <s v="No"/>
    <x v="1"/>
    <x v="2"/>
    <s v="Not Applicable"/>
    <n v="56"/>
    <x v="1"/>
  </r>
  <r>
    <s v="DBR0743"/>
    <x v="1"/>
    <x v="4"/>
    <d v="2025-03-06T00:00:00"/>
    <d v="2025-04-03T00:00:00"/>
    <s v="Yes"/>
    <s v="Valid"/>
    <s v="No"/>
    <s v="No"/>
    <x v="0"/>
    <x v="425"/>
    <s v="Paid"/>
    <n v="53"/>
    <x v="3"/>
  </r>
  <r>
    <s v="DBR0744"/>
    <x v="3"/>
    <x v="3"/>
    <d v="2025-11-18T00:00:00"/>
    <d v="2025-12-03T00:00:00"/>
    <s v="Yes"/>
    <s v="Valid"/>
    <s v="No"/>
    <s v="No"/>
    <x v="0"/>
    <x v="426"/>
    <s v="Paid"/>
    <n v="40"/>
    <x v="1"/>
  </r>
  <r>
    <s v="DBR0745"/>
    <x v="4"/>
    <x v="4"/>
    <d v="2025-03-08T00:00:00"/>
    <d v="2025-03-09T00:00:00"/>
    <s v="Yes"/>
    <s v="Deficient"/>
    <s v="Yes"/>
    <s v="No"/>
    <x v="1"/>
    <x v="2"/>
    <s v="Not Applicable"/>
    <n v="16"/>
    <x v="3"/>
  </r>
  <r>
    <s v="DBR0746"/>
    <x v="0"/>
    <x v="4"/>
    <d v="2025-01-27T00:00:00"/>
    <d v="2025-02-08T00:00:00"/>
    <s v="Yes"/>
    <s v="Deficient"/>
    <s v="Yes"/>
    <s v="Yes"/>
    <x v="0"/>
    <x v="427"/>
    <s v="Pending"/>
    <n v="34"/>
    <x v="3"/>
  </r>
  <r>
    <s v="DBR0747"/>
    <x v="5"/>
    <x v="4"/>
    <d v="2025-08-19T00:00:00"/>
    <d v="2025-09-09T00:00:00"/>
    <s v="Yes"/>
    <s v="Deficient"/>
    <s v="Yes"/>
    <s v="Yes"/>
    <x v="0"/>
    <x v="428"/>
    <s v="Paid"/>
    <n v="37"/>
    <x v="0"/>
  </r>
  <r>
    <s v="DBR0748"/>
    <x v="4"/>
    <x v="3"/>
    <d v="2025-08-19T00:00:00"/>
    <d v="2025-09-11T00:00:00"/>
    <s v="Yes"/>
    <s v="Rejected"/>
    <s v="No"/>
    <s v="No"/>
    <x v="1"/>
    <x v="2"/>
    <s v="Not Applicable"/>
    <n v="35"/>
    <x v="1"/>
  </r>
  <r>
    <s v="DBR0749"/>
    <x v="3"/>
    <x v="1"/>
    <d v="2025-01-27T00:00:00"/>
    <d v="2025-02-06T00:00:00"/>
    <s v="Yes"/>
    <s v="Rejected"/>
    <s v="No"/>
    <s v="No"/>
    <x v="1"/>
    <x v="2"/>
    <s v="Not Applicable"/>
    <n v="15"/>
    <x v="2"/>
  </r>
  <r>
    <s v="DBR0750"/>
    <x v="5"/>
    <x v="3"/>
    <d v="2025-05-26T00:00:00"/>
    <d v="2025-06-03T00:00:00"/>
    <s v="Yes"/>
    <s v="Rejected"/>
    <s v="No"/>
    <s v="No"/>
    <x v="1"/>
    <x v="2"/>
    <s v="Not Applicable"/>
    <n v="35"/>
    <x v="1"/>
  </r>
  <r>
    <s v="DBR0751"/>
    <x v="3"/>
    <x v="2"/>
    <d v="2025-03-18T00:00:00"/>
    <d v="2025-04-14T00:00:00"/>
    <s v="Yes"/>
    <s v="Rejected"/>
    <s v="No"/>
    <s v="No"/>
    <x v="1"/>
    <x v="2"/>
    <s v="Not Applicable"/>
    <n v="41"/>
    <x v="0"/>
  </r>
  <r>
    <s v="DBR0752"/>
    <x v="4"/>
    <x v="1"/>
    <d v="2025-09-16T00:00:00"/>
    <d v="2025-10-28T00:00:00"/>
    <s v="No"/>
    <s v="Rejected"/>
    <s v="No"/>
    <s v="No"/>
    <x v="1"/>
    <x v="2"/>
    <s v="Not Applicable"/>
    <n v="51"/>
    <x v="0"/>
  </r>
  <r>
    <s v="DBR0753"/>
    <x v="0"/>
    <x v="4"/>
    <d v="2025-11-25T00:00:00"/>
    <d v="2025-12-23T00:00:00"/>
    <s v="Yes"/>
    <s v="Valid"/>
    <s v="No"/>
    <s v="No"/>
    <x v="0"/>
    <x v="429"/>
    <s v="Paid"/>
    <n v="64"/>
    <x v="3"/>
  </r>
  <r>
    <s v="DBR0754"/>
    <x v="5"/>
    <x v="3"/>
    <d v="2025-01-28T00:00:00"/>
    <d v="2025-01-30T00:00:00"/>
    <s v="Yes"/>
    <s v="Deficient"/>
    <s v="Yes"/>
    <s v="No"/>
    <x v="1"/>
    <x v="2"/>
    <s v="Not Applicable"/>
    <n v="38"/>
    <x v="1"/>
  </r>
  <r>
    <s v="DBR0755"/>
    <x v="0"/>
    <x v="0"/>
    <d v="2025-02-20T00:00:00"/>
    <d v="2025-04-03T00:00:00"/>
    <s v="No"/>
    <s v="Deficient"/>
    <s v="Yes"/>
    <s v="Yes"/>
    <x v="0"/>
    <x v="430"/>
    <s v="Paid"/>
    <n v="69"/>
    <x v="0"/>
  </r>
  <r>
    <s v="DBR0756"/>
    <x v="4"/>
    <x v="0"/>
    <d v="2025-06-24T00:00:00"/>
    <d v="2025-07-16T00:00:00"/>
    <s v="Yes"/>
    <s v="Rejected"/>
    <s v="No"/>
    <s v="No"/>
    <x v="1"/>
    <x v="2"/>
    <s v="Not Applicable"/>
    <n v="41"/>
    <x v="1"/>
  </r>
  <r>
    <s v="DBR0757"/>
    <x v="5"/>
    <x v="4"/>
    <d v="2025-10-03T00:00:00"/>
    <d v="2025-10-31T00:00:00"/>
    <s v="Yes"/>
    <s v="Valid"/>
    <s v="No"/>
    <s v="No"/>
    <x v="0"/>
    <x v="431"/>
    <s v="Paid"/>
    <n v="34"/>
    <x v="2"/>
  </r>
  <r>
    <s v="DBR0758"/>
    <x v="0"/>
    <x v="2"/>
    <d v="2025-03-22T00:00:00"/>
    <d v="2025-03-26T00:00:00"/>
    <s v="Yes"/>
    <s v="Valid"/>
    <s v="No"/>
    <s v="No"/>
    <x v="0"/>
    <x v="432"/>
    <s v="Pending"/>
    <n v="29"/>
    <x v="3"/>
  </r>
  <r>
    <s v="DBR0759"/>
    <x v="2"/>
    <x v="1"/>
    <d v="2025-11-13T00:00:00"/>
    <d v="2025-12-04T00:00:00"/>
    <s v="Yes"/>
    <s v="Rejected"/>
    <s v="No"/>
    <s v="No"/>
    <x v="1"/>
    <x v="2"/>
    <s v="Not Applicable"/>
    <n v="52"/>
    <x v="3"/>
  </r>
  <r>
    <s v="DBR0760"/>
    <x v="2"/>
    <x v="3"/>
    <d v="2025-02-01T00:00:00"/>
    <d v="2025-02-04T00:00:00"/>
    <s v="Yes"/>
    <s v="Deficient"/>
    <s v="Yes"/>
    <s v="Yes"/>
    <x v="0"/>
    <x v="433"/>
    <s v="Paid"/>
    <n v="15"/>
    <x v="3"/>
  </r>
  <r>
    <s v="DBR0761"/>
    <x v="3"/>
    <x v="1"/>
    <d v="2025-02-23T00:00:00"/>
    <d v="2025-03-27T00:00:00"/>
    <s v="No"/>
    <s v="Rejected"/>
    <s v="No"/>
    <s v="No"/>
    <x v="1"/>
    <x v="2"/>
    <s v="Not Applicable"/>
    <n v="44"/>
    <x v="2"/>
  </r>
  <r>
    <s v="DBR0762"/>
    <x v="2"/>
    <x v="3"/>
    <d v="2025-10-25T00:00:00"/>
    <d v="2025-11-05T00:00:00"/>
    <s v="Yes"/>
    <s v="Valid"/>
    <s v="No"/>
    <s v="No"/>
    <x v="0"/>
    <x v="434"/>
    <s v="Paid"/>
    <n v="37"/>
    <x v="3"/>
  </r>
  <r>
    <s v="DBR0763"/>
    <x v="3"/>
    <x v="0"/>
    <d v="2025-01-17T00:00:00"/>
    <d v="2025-02-06T00:00:00"/>
    <s v="Yes"/>
    <s v="Rejected"/>
    <s v="No"/>
    <s v="No"/>
    <x v="1"/>
    <x v="2"/>
    <s v="Not Applicable"/>
    <n v="34"/>
    <x v="0"/>
  </r>
  <r>
    <s v="DBR0764"/>
    <x v="3"/>
    <x v="4"/>
    <d v="2025-10-05T00:00:00"/>
    <d v="2025-11-16T00:00:00"/>
    <s v="No"/>
    <s v="Deficient"/>
    <s v="Yes"/>
    <s v="Yes"/>
    <x v="0"/>
    <x v="435"/>
    <s v="Paid"/>
    <n v="73"/>
    <x v="0"/>
  </r>
  <r>
    <s v="DBR0765"/>
    <x v="3"/>
    <x v="0"/>
    <d v="2025-06-13T00:00:00"/>
    <d v="2025-07-10T00:00:00"/>
    <s v="Yes"/>
    <s v="Valid"/>
    <s v="No"/>
    <s v="No"/>
    <x v="0"/>
    <x v="436"/>
    <s v="Paid"/>
    <n v="44"/>
    <x v="1"/>
  </r>
  <r>
    <s v="DBR0766"/>
    <x v="0"/>
    <x v="0"/>
    <d v="2025-03-26T00:00:00"/>
    <d v="2025-04-28T00:00:00"/>
    <s v="No"/>
    <s v="Deficient"/>
    <s v="Yes"/>
    <s v="Yes"/>
    <x v="0"/>
    <x v="437"/>
    <s v="Paid"/>
    <n v="46"/>
    <x v="2"/>
  </r>
  <r>
    <s v="DBR0767"/>
    <x v="3"/>
    <x v="1"/>
    <d v="2025-03-03T00:00:00"/>
    <d v="2025-04-14T00:00:00"/>
    <s v="No"/>
    <s v="Rejected"/>
    <s v="No"/>
    <s v="No"/>
    <x v="1"/>
    <x v="2"/>
    <s v="Not Applicable"/>
    <n v="49"/>
    <x v="2"/>
  </r>
  <r>
    <s v="DBR0768"/>
    <x v="0"/>
    <x v="1"/>
    <d v="2025-05-22T00:00:00"/>
    <d v="2025-06-29T00:00:00"/>
    <s v="No"/>
    <s v="Rejected"/>
    <s v="No"/>
    <s v="No"/>
    <x v="1"/>
    <x v="2"/>
    <s v="Not Applicable"/>
    <n v="44"/>
    <x v="2"/>
  </r>
  <r>
    <s v="DBR0769"/>
    <x v="4"/>
    <x v="1"/>
    <d v="2025-10-17T00:00:00"/>
    <d v="2025-11-19T00:00:00"/>
    <s v="No"/>
    <s v="Valid"/>
    <s v="No"/>
    <s v="No"/>
    <x v="0"/>
    <x v="438"/>
    <s v="Paid"/>
    <n v="41"/>
    <x v="0"/>
  </r>
  <r>
    <s v="DBR0770"/>
    <x v="5"/>
    <x v="0"/>
    <d v="2025-10-26T00:00:00"/>
    <d v="2025-11-17T00:00:00"/>
    <s v="Yes"/>
    <s v="Deficient"/>
    <s v="Yes"/>
    <s v="Yes"/>
    <x v="0"/>
    <x v="439"/>
    <s v="Pending"/>
    <n v="38"/>
    <x v="1"/>
  </r>
  <r>
    <s v="DBR0771"/>
    <x v="2"/>
    <x v="4"/>
    <d v="2025-02-19T00:00:00"/>
    <d v="2025-03-06T00:00:00"/>
    <s v="Yes"/>
    <s v="Rejected"/>
    <s v="No"/>
    <s v="No"/>
    <x v="1"/>
    <x v="2"/>
    <s v="Not Applicable"/>
    <n v="42"/>
    <x v="0"/>
  </r>
  <r>
    <s v="DBR0772"/>
    <x v="4"/>
    <x v="4"/>
    <d v="2025-07-07T00:00:00"/>
    <d v="2025-08-17T00:00:00"/>
    <s v="No"/>
    <s v="Deficient"/>
    <s v="Yes"/>
    <s v="No"/>
    <x v="1"/>
    <x v="2"/>
    <s v="Not Applicable"/>
    <n v="50"/>
    <x v="2"/>
  </r>
  <r>
    <s v="DBR0773"/>
    <x v="1"/>
    <x v="2"/>
    <d v="2025-08-21T00:00:00"/>
    <d v="2025-09-23T00:00:00"/>
    <s v="No"/>
    <s v="Valid"/>
    <s v="No"/>
    <s v="No"/>
    <x v="0"/>
    <x v="440"/>
    <s v="Pending"/>
    <n v="54"/>
    <x v="0"/>
  </r>
  <r>
    <s v="DBR0774"/>
    <x v="3"/>
    <x v="3"/>
    <d v="2025-06-06T00:00:00"/>
    <d v="2025-06-24T00:00:00"/>
    <s v="Yes"/>
    <s v="Valid"/>
    <s v="No"/>
    <s v="No"/>
    <x v="0"/>
    <x v="441"/>
    <s v="Pending"/>
    <n v="52"/>
    <x v="1"/>
  </r>
  <r>
    <s v="DBR0775"/>
    <x v="5"/>
    <x v="0"/>
    <d v="2025-05-23T00:00:00"/>
    <d v="2025-06-22T00:00:00"/>
    <s v="Yes"/>
    <s v="Rejected"/>
    <s v="No"/>
    <s v="No"/>
    <x v="1"/>
    <x v="2"/>
    <s v="Not Applicable"/>
    <n v="52"/>
    <x v="3"/>
  </r>
  <r>
    <s v="DBR0776"/>
    <x v="5"/>
    <x v="4"/>
    <d v="2025-06-08T00:00:00"/>
    <d v="2025-06-21T00:00:00"/>
    <s v="Yes"/>
    <s v="Valid"/>
    <s v="No"/>
    <s v="No"/>
    <x v="0"/>
    <x v="442"/>
    <s v="Paid"/>
    <n v="51"/>
    <x v="0"/>
  </r>
  <r>
    <s v="DBR0777"/>
    <x v="4"/>
    <x v="4"/>
    <d v="2025-07-25T00:00:00"/>
    <d v="2025-09-07T00:00:00"/>
    <s v="No"/>
    <s v="Rejected"/>
    <s v="No"/>
    <s v="No"/>
    <x v="1"/>
    <x v="2"/>
    <s v="Not Applicable"/>
    <n v="60"/>
    <x v="1"/>
  </r>
  <r>
    <s v="DBR0778"/>
    <x v="3"/>
    <x v="1"/>
    <d v="2025-08-24T00:00:00"/>
    <d v="2025-09-27T00:00:00"/>
    <s v="No"/>
    <s v="Valid"/>
    <s v="No"/>
    <s v="No"/>
    <x v="0"/>
    <x v="443"/>
    <s v="Paid"/>
    <n v="48"/>
    <x v="1"/>
  </r>
  <r>
    <s v="DBR0779"/>
    <x v="4"/>
    <x v="3"/>
    <d v="2025-01-24T00:00:00"/>
    <d v="2025-02-17T00:00:00"/>
    <s v="Yes"/>
    <s v="Rejected"/>
    <s v="No"/>
    <s v="No"/>
    <x v="1"/>
    <x v="2"/>
    <s v="Not Applicable"/>
    <n v="56"/>
    <x v="0"/>
  </r>
  <r>
    <s v="DBR0780"/>
    <x v="0"/>
    <x v="0"/>
    <d v="2025-11-20T00:00:00"/>
    <d v="2026-01-02T00:00:00"/>
    <s v="No"/>
    <s v="Deficient"/>
    <s v="Yes"/>
    <s v="Yes"/>
    <x v="0"/>
    <x v="444"/>
    <s v="Paid"/>
    <n v="65"/>
    <x v="0"/>
  </r>
  <r>
    <s v="DBR0781"/>
    <x v="4"/>
    <x v="2"/>
    <d v="2025-06-26T00:00:00"/>
    <d v="2025-07-27T00:00:00"/>
    <s v="No"/>
    <s v="Deficient"/>
    <s v="Yes"/>
    <s v="No"/>
    <x v="1"/>
    <x v="2"/>
    <s v="Not Applicable"/>
    <n v="56"/>
    <x v="2"/>
  </r>
  <r>
    <s v="DBR0782"/>
    <x v="3"/>
    <x v="3"/>
    <d v="2025-07-15T00:00:00"/>
    <d v="2025-08-12T00:00:00"/>
    <s v="Yes"/>
    <s v="Deficient"/>
    <s v="Yes"/>
    <s v="Yes"/>
    <x v="0"/>
    <x v="445"/>
    <s v="Paid"/>
    <n v="64"/>
    <x v="1"/>
  </r>
  <r>
    <s v="DBR0783"/>
    <x v="3"/>
    <x v="2"/>
    <d v="2025-07-15T00:00:00"/>
    <d v="2025-07-20T00:00:00"/>
    <s v="Yes"/>
    <s v="Deficient"/>
    <s v="Yes"/>
    <s v="Yes"/>
    <x v="0"/>
    <x v="446"/>
    <s v="Pending"/>
    <n v="36"/>
    <x v="3"/>
  </r>
  <r>
    <s v="DBR0784"/>
    <x v="2"/>
    <x v="4"/>
    <d v="2025-10-12T00:00:00"/>
    <d v="2025-10-30T00:00:00"/>
    <s v="Yes"/>
    <s v="Rejected"/>
    <s v="No"/>
    <s v="No"/>
    <x v="1"/>
    <x v="2"/>
    <s v="Not Applicable"/>
    <n v="34"/>
    <x v="3"/>
  </r>
  <r>
    <s v="DBR0785"/>
    <x v="3"/>
    <x v="4"/>
    <d v="2025-01-13T00:00:00"/>
    <d v="2025-01-25T00:00:00"/>
    <s v="Yes"/>
    <s v="Rejected"/>
    <s v="No"/>
    <s v="No"/>
    <x v="1"/>
    <x v="2"/>
    <s v="Not Applicable"/>
    <n v="46"/>
    <x v="3"/>
  </r>
  <r>
    <s v="DBR0786"/>
    <x v="2"/>
    <x v="3"/>
    <d v="2025-10-16T00:00:00"/>
    <d v="2025-11-05T00:00:00"/>
    <s v="Yes"/>
    <s v="Deficient"/>
    <s v="Yes"/>
    <s v="Yes"/>
    <x v="0"/>
    <x v="447"/>
    <s v="Pending"/>
    <n v="46"/>
    <x v="2"/>
  </r>
  <r>
    <s v="DBR0787"/>
    <x v="2"/>
    <x v="1"/>
    <d v="2025-05-10T00:00:00"/>
    <d v="2025-05-19T00:00:00"/>
    <s v="Yes"/>
    <s v="Deficient"/>
    <s v="Yes"/>
    <s v="Yes"/>
    <x v="0"/>
    <x v="448"/>
    <s v="Paid"/>
    <n v="45"/>
    <x v="1"/>
  </r>
  <r>
    <s v="DBR0788"/>
    <x v="4"/>
    <x v="0"/>
    <d v="2025-07-24T00:00:00"/>
    <d v="2025-08-24T00:00:00"/>
    <s v="No"/>
    <s v="Deficient"/>
    <s v="Yes"/>
    <s v="Yes"/>
    <x v="0"/>
    <x v="449"/>
    <s v="Paid"/>
    <n v="52"/>
    <x v="3"/>
  </r>
  <r>
    <s v="DBR0789"/>
    <x v="1"/>
    <x v="1"/>
    <d v="2025-12-18T00:00:00"/>
    <d v="2026-01-15T00:00:00"/>
    <s v="Yes"/>
    <s v="Deficient"/>
    <s v="Yes"/>
    <s v="Yes"/>
    <x v="0"/>
    <x v="450"/>
    <s v="Paid"/>
    <n v="35"/>
    <x v="0"/>
  </r>
  <r>
    <s v="DBR0790"/>
    <x v="3"/>
    <x v="3"/>
    <d v="2025-08-16T00:00:00"/>
    <d v="2025-09-09T00:00:00"/>
    <s v="Yes"/>
    <s v="Rejected"/>
    <s v="No"/>
    <s v="No"/>
    <x v="1"/>
    <x v="2"/>
    <s v="Not Applicable"/>
    <n v="52"/>
    <x v="3"/>
  </r>
  <r>
    <s v="DBR0791"/>
    <x v="3"/>
    <x v="2"/>
    <d v="2025-09-15T00:00:00"/>
    <d v="2025-10-29T00:00:00"/>
    <s v="No"/>
    <s v="Rejected"/>
    <s v="No"/>
    <s v="No"/>
    <x v="1"/>
    <x v="2"/>
    <s v="Not Applicable"/>
    <n v="68"/>
    <x v="2"/>
  </r>
  <r>
    <s v="DBR0792"/>
    <x v="3"/>
    <x v="0"/>
    <d v="2025-03-23T00:00:00"/>
    <d v="2025-04-20T00:00:00"/>
    <s v="Yes"/>
    <s v="Rejected"/>
    <s v="No"/>
    <s v="No"/>
    <x v="1"/>
    <x v="2"/>
    <s v="Not Applicable"/>
    <n v="47"/>
    <x v="0"/>
  </r>
  <r>
    <s v="DBR0793"/>
    <x v="4"/>
    <x v="3"/>
    <d v="2025-05-02T00:00:00"/>
    <d v="2025-05-28T00:00:00"/>
    <s v="Yes"/>
    <s v="Deficient"/>
    <s v="Yes"/>
    <s v="Yes"/>
    <x v="0"/>
    <x v="451"/>
    <s v="Paid"/>
    <n v="44"/>
    <x v="3"/>
  </r>
  <r>
    <s v="DBR0794"/>
    <x v="0"/>
    <x v="4"/>
    <d v="2025-08-10T00:00:00"/>
    <d v="2025-08-13T00:00:00"/>
    <s v="Yes"/>
    <s v="Valid"/>
    <s v="No"/>
    <s v="No"/>
    <x v="0"/>
    <x v="452"/>
    <s v="Paid"/>
    <n v="24"/>
    <x v="2"/>
  </r>
  <r>
    <s v="DBR0795"/>
    <x v="2"/>
    <x v="2"/>
    <d v="2025-10-04T00:00:00"/>
    <d v="2025-11-04T00:00:00"/>
    <s v="No"/>
    <s v="Deficient"/>
    <s v="Yes"/>
    <s v="Yes"/>
    <x v="0"/>
    <x v="453"/>
    <s v="Paid"/>
    <n v="56"/>
    <x v="1"/>
  </r>
  <r>
    <s v="DBR0796"/>
    <x v="5"/>
    <x v="0"/>
    <d v="2025-01-07T00:00:00"/>
    <d v="2025-01-15T00:00:00"/>
    <s v="Yes"/>
    <s v="Rejected"/>
    <s v="No"/>
    <s v="No"/>
    <x v="1"/>
    <x v="2"/>
    <s v="Not Applicable"/>
    <n v="40"/>
    <x v="1"/>
  </r>
  <r>
    <s v="DBR0797"/>
    <x v="3"/>
    <x v="1"/>
    <d v="2025-06-06T00:00:00"/>
    <d v="2025-07-10T00:00:00"/>
    <s v="No"/>
    <s v="Valid"/>
    <s v="No"/>
    <s v="No"/>
    <x v="0"/>
    <x v="454"/>
    <s v="Pending"/>
    <n v="66"/>
    <x v="1"/>
  </r>
  <r>
    <s v="DBR0798"/>
    <x v="4"/>
    <x v="2"/>
    <d v="2025-03-25T00:00:00"/>
    <d v="2025-04-05T00:00:00"/>
    <s v="Yes"/>
    <s v="Deficient"/>
    <s v="Yes"/>
    <s v="Yes"/>
    <x v="0"/>
    <x v="455"/>
    <s v="Paid"/>
    <n v="25"/>
    <x v="1"/>
  </r>
  <r>
    <s v="DBR0799"/>
    <x v="1"/>
    <x v="3"/>
    <d v="2025-06-12T00:00:00"/>
    <d v="2025-07-24T00:00:00"/>
    <s v="No"/>
    <s v="Valid"/>
    <s v="No"/>
    <s v="No"/>
    <x v="0"/>
    <x v="456"/>
    <s v="Paid"/>
    <n v="50"/>
    <x v="0"/>
  </r>
  <r>
    <s v="DBR0800"/>
    <x v="0"/>
    <x v="3"/>
    <d v="2025-03-12T00:00:00"/>
    <d v="2025-04-18T00:00:00"/>
    <s v="No"/>
    <s v="Deficient"/>
    <s v="Yes"/>
    <s v="Yes"/>
    <x v="0"/>
    <x v="457"/>
    <s v="Paid"/>
    <n v="76"/>
    <x v="2"/>
  </r>
  <r>
    <s v="DBR0801"/>
    <x v="3"/>
    <x v="2"/>
    <d v="2025-02-12T00:00:00"/>
    <d v="2025-03-08T00:00:00"/>
    <s v="Yes"/>
    <s v="Valid"/>
    <s v="No"/>
    <s v="No"/>
    <x v="0"/>
    <x v="458"/>
    <s v="Paid"/>
    <n v="35"/>
    <x v="1"/>
  </r>
  <r>
    <s v="DBR0802"/>
    <x v="5"/>
    <x v="2"/>
    <d v="2025-03-08T00:00:00"/>
    <d v="2025-04-03T00:00:00"/>
    <s v="Yes"/>
    <s v="Rejected"/>
    <s v="No"/>
    <s v="No"/>
    <x v="1"/>
    <x v="2"/>
    <s v="Not Applicable"/>
    <n v="56"/>
    <x v="2"/>
  </r>
  <r>
    <s v="DBR0803"/>
    <x v="1"/>
    <x v="1"/>
    <d v="2025-02-28T00:00:00"/>
    <d v="2025-03-02T00:00:00"/>
    <s v="Yes"/>
    <s v="Deficient"/>
    <s v="Yes"/>
    <s v="No"/>
    <x v="1"/>
    <x v="2"/>
    <s v="Not Applicable"/>
    <n v="23"/>
    <x v="2"/>
  </r>
  <r>
    <s v="DBR0804"/>
    <x v="1"/>
    <x v="3"/>
    <d v="2025-07-14T00:00:00"/>
    <d v="2025-08-18T00:00:00"/>
    <s v="No"/>
    <s v="Rejected"/>
    <s v="No"/>
    <s v="No"/>
    <x v="1"/>
    <x v="2"/>
    <s v="Not Applicable"/>
    <n v="53"/>
    <x v="2"/>
  </r>
  <r>
    <s v="DBR0805"/>
    <x v="2"/>
    <x v="3"/>
    <d v="2025-05-24T00:00:00"/>
    <d v="2025-06-05T00:00:00"/>
    <s v="Yes"/>
    <s v="Deficient"/>
    <s v="Yes"/>
    <s v="Yes"/>
    <x v="0"/>
    <x v="459"/>
    <s v="Paid"/>
    <n v="45"/>
    <x v="2"/>
  </r>
  <r>
    <s v="DBR0806"/>
    <x v="3"/>
    <x v="1"/>
    <d v="2025-04-15T00:00:00"/>
    <d v="2025-05-28T00:00:00"/>
    <s v="No"/>
    <s v="Rejected"/>
    <s v="No"/>
    <s v="No"/>
    <x v="1"/>
    <x v="2"/>
    <s v="Not Applicable"/>
    <n v="77"/>
    <x v="0"/>
  </r>
  <r>
    <s v="DBR0807"/>
    <x v="0"/>
    <x v="2"/>
    <d v="2025-06-08T00:00:00"/>
    <d v="2025-07-03T00:00:00"/>
    <s v="Yes"/>
    <s v="Deficient"/>
    <s v="Yes"/>
    <s v="No"/>
    <x v="1"/>
    <x v="2"/>
    <s v="Not Applicable"/>
    <n v="53"/>
    <x v="0"/>
  </r>
  <r>
    <s v="DBR0808"/>
    <x v="5"/>
    <x v="4"/>
    <d v="2025-09-25T00:00:00"/>
    <d v="2025-11-07T00:00:00"/>
    <s v="No"/>
    <s v="Deficient"/>
    <s v="Yes"/>
    <s v="Yes"/>
    <x v="0"/>
    <x v="460"/>
    <s v="Paid"/>
    <n v="79"/>
    <x v="0"/>
  </r>
  <r>
    <s v="DBR0809"/>
    <x v="3"/>
    <x v="2"/>
    <d v="2025-11-22T00:00:00"/>
    <d v="2025-11-27T00:00:00"/>
    <s v="Yes"/>
    <s v="Rejected"/>
    <s v="No"/>
    <s v="No"/>
    <x v="1"/>
    <x v="2"/>
    <s v="Not Applicable"/>
    <n v="10"/>
    <x v="2"/>
  </r>
  <r>
    <s v="DBR0810"/>
    <x v="0"/>
    <x v="1"/>
    <d v="2025-04-27T00:00:00"/>
    <d v="2025-05-14T00:00:00"/>
    <s v="Yes"/>
    <s v="Deficient"/>
    <s v="Yes"/>
    <s v="Yes"/>
    <x v="0"/>
    <x v="461"/>
    <s v="Paid"/>
    <n v="52"/>
    <x v="1"/>
  </r>
  <r>
    <s v="DBR0811"/>
    <x v="0"/>
    <x v="1"/>
    <d v="2025-09-26T00:00:00"/>
    <d v="2025-10-27T00:00:00"/>
    <s v="No"/>
    <s v="Deficient"/>
    <s v="Yes"/>
    <s v="Yes"/>
    <x v="0"/>
    <x v="462"/>
    <s v="Paid"/>
    <n v="66"/>
    <x v="2"/>
  </r>
  <r>
    <s v="DBR0812"/>
    <x v="2"/>
    <x v="0"/>
    <d v="2025-08-27T00:00:00"/>
    <d v="2025-09-11T00:00:00"/>
    <s v="Yes"/>
    <s v="Rejected"/>
    <s v="No"/>
    <s v="No"/>
    <x v="1"/>
    <x v="2"/>
    <s v="Not Applicable"/>
    <n v="45"/>
    <x v="1"/>
  </r>
  <r>
    <s v="DBR0813"/>
    <x v="4"/>
    <x v="3"/>
    <d v="2025-11-10T00:00:00"/>
    <d v="2025-11-16T00:00:00"/>
    <s v="Yes"/>
    <s v="Deficient"/>
    <s v="Yes"/>
    <s v="Yes"/>
    <x v="0"/>
    <x v="463"/>
    <s v="Paid"/>
    <n v="46"/>
    <x v="1"/>
  </r>
  <r>
    <s v="DBR0814"/>
    <x v="1"/>
    <x v="2"/>
    <d v="2025-05-17T00:00:00"/>
    <d v="2025-06-10T00:00:00"/>
    <s v="Yes"/>
    <s v="Deficient"/>
    <s v="Yes"/>
    <s v="Yes"/>
    <x v="0"/>
    <x v="464"/>
    <s v="Paid"/>
    <n v="34"/>
    <x v="0"/>
  </r>
  <r>
    <s v="DBR0815"/>
    <x v="2"/>
    <x v="3"/>
    <d v="2025-08-05T00:00:00"/>
    <d v="2025-08-24T00:00:00"/>
    <s v="Yes"/>
    <s v="Deficient"/>
    <s v="Yes"/>
    <s v="Yes"/>
    <x v="0"/>
    <x v="465"/>
    <s v="Pending"/>
    <n v="58"/>
    <x v="0"/>
  </r>
  <r>
    <s v="DBR0816"/>
    <x v="1"/>
    <x v="4"/>
    <d v="2025-07-10T00:00:00"/>
    <d v="2025-08-18T00:00:00"/>
    <s v="No"/>
    <s v="Rejected"/>
    <s v="No"/>
    <s v="No"/>
    <x v="1"/>
    <x v="2"/>
    <s v="Not Applicable"/>
    <n v="64"/>
    <x v="0"/>
  </r>
  <r>
    <s v="DBR0817"/>
    <x v="3"/>
    <x v="0"/>
    <d v="2025-03-17T00:00:00"/>
    <d v="2025-04-15T00:00:00"/>
    <s v="Yes"/>
    <s v="Rejected"/>
    <s v="No"/>
    <s v="No"/>
    <x v="1"/>
    <x v="2"/>
    <s v="Not Applicable"/>
    <n v="61"/>
    <x v="3"/>
  </r>
  <r>
    <s v="DBR0818"/>
    <x v="0"/>
    <x v="1"/>
    <d v="2025-11-27T00:00:00"/>
    <d v="2025-12-06T00:00:00"/>
    <s v="Yes"/>
    <s v="Deficient"/>
    <s v="Yes"/>
    <s v="Yes"/>
    <x v="0"/>
    <x v="466"/>
    <s v="Paid"/>
    <n v="47"/>
    <x v="1"/>
  </r>
  <r>
    <s v="DBR0819"/>
    <x v="5"/>
    <x v="2"/>
    <d v="2025-04-20T00:00:00"/>
    <d v="2025-05-29T00:00:00"/>
    <s v="No"/>
    <s v="Rejected"/>
    <s v="No"/>
    <s v="No"/>
    <x v="1"/>
    <x v="2"/>
    <s v="Not Applicable"/>
    <n v="66"/>
    <x v="2"/>
  </r>
  <r>
    <s v="DBR0820"/>
    <x v="4"/>
    <x v="1"/>
    <d v="2025-09-16T00:00:00"/>
    <d v="2025-10-28T00:00:00"/>
    <s v="No"/>
    <s v="Deficient"/>
    <s v="Yes"/>
    <s v="No"/>
    <x v="1"/>
    <x v="2"/>
    <s v="Not Applicable"/>
    <n v="59"/>
    <x v="3"/>
  </r>
  <r>
    <s v="DBR0821"/>
    <x v="5"/>
    <x v="0"/>
    <d v="2025-01-26T00:00:00"/>
    <d v="2025-03-03T00:00:00"/>
    <s v="No"/>
    <s v="Deficient"/>
    <s v="Yes"/>
    <s v="No"/>
    <x v="1"/>
    <x v="2"/>
    <s v="Not Applicable"/>
    <n v="41"/>
    <x v="3"/>
  </r>
  <r>
    <s v="DBR0822"/>
    <x v="5"/>
    <x v="0"/>
    <d v="2025-09-20T00:00:00"/>
    <d v="2025-10-27T00:00:00"/>
    <s v="No"/>
    <s v="Valid"/>
    <s v="No"/>
    <s v="No"/>
    <x v="0"/>
    <x v="467"/>
    <s v="Paid"/>
    <n v="54"/>
    <x v="2"/>
  </r>
  <r>
    <s v="DBR0823"/>
    <x v="3"/>
    <x v="2"/>
    <d v="2025-02-28T00:00:00"/>
    <d v="2025-04-14T00:00:00"/>
    <s v="No"/>
    <s v="Rejected"/>
    <s v="No"/>
    <s v="No"/>
    <x v="1"/>
    <x v="2"/>
    <s v="Not Applicable"/>
    <n v="77"/>
    <x v="2"/>
  </r>
  <r>
    <s v="DBR0824"/>
    <x v="3"/>
    <x v="4"/>
    <d v="2025-03-23T00:00:00"/>
    <d v="2025-04-05T00:00:00"/>
    <s v="Yes"/>
    <s v="Rejected"/>
    <s v="No"/>
    <s v="No"/>
    <x v="1"/>
    <x v="2"/>
    <s v="Not Applicable"/>
    <n v="36"/>
    <x v="0"/>
  </r>
  <r>
    <s v="DBR0825"/>
    <x v="4"/>
    <x v="4"/>
    <d v="2025-12-07T00:00:00"/>
    <d v="2025-12-31T00:00:00"/>
    <s v="Yes"/>
    <s v="Deficient"/>
    <s v="Yes"/>
    <s v="Yes"/>
    <x v="0"/>
    <x v="468"/>
    <s v="Paid"/>
    <n v="57"/>
    <x v="2"/>
  </r>
  <r>
    <s v="DBR0826"/>
    <x v="1"/>
    <x v="4"/>
    <d v="2025-09-16T00:00:00"/>
    <d v="2025-10-20T00:00:00"/>
    <s v="No"/>
    <s v="Deficient"/>
    <s v="Yes"/>
    <s v="No"/>
    <x v="1"/>
    <x v="2"/>
    <s v="Not Applicable"/>
    <n v="59"/>
    <x v="2"/>
  </r>
  <r>
    <s v="DBR0827"/>
    <x v="2"/>
    <x v="2"/>
    <d v="2025-10-02T00:00:00"/>
    <d v="2025-10-31T00:00:00"/>
    <s v="Yes"/>
    <s v="Valid"/>
    <s v="No"/>
    <s v="No"/>
    <x v="0"/>
    <x v="469"/>
    <s v="Paid"/>
    <n v="55"/>
    <x v="3"/>
  </r>
  <r>
    <s v="DBR0828"/>
    <x v="1"/>
    <x v="2"/>
    <d v="2025-06-07T00:00:00"/>
    <d v="2025-07-03T00:00:00"/>
    <s v="Yes"/>
    <s v="Valid"/>
    <s v="No"/>
    <s v="No"/>
    <x v="0"/>
    <x v="470"/>
    <s v="Paid"/>
    <n v="50"/>
    <x v="3"/>
  </r>
  <r>
    <s v="DBR0829"/>
    <x v="5"/>
    <x v="2"/>
    <d v="2025-09-10T00:00:00"/>
    <d v="2025-10-10T00:00:00"/>
    <s v="Yes"/>
    <s v="Valid"/>
    <s v="No"/>
    <s v="No"/>
    <x v="0"/>
    <x v="471"/>
    <s v="Paid"/>
    <n v="36"/>
    <x v="2"/>
  </r>
  <r>
    <s v="DBR0830"/>
    <x v="2"/>
    <x v="1"/>
    <d v="2025-06-15T00:00:00"/>
    <d v="2025-07-26T00:00:00"/>
    <s v="No"/>
    <s v="Rejected"/>
    <s v="No"/>
    <s v="No"/>
    <x v="1"/>
    <x v="2"/>
    <s v="Not Applicable"/>
    <n v="67"/>
    <x v="2"/>
  </r>
  <r>
    <s v="DBR0831"/>
    <x v="3"/>
    <x v="3"/>
    <d v="2025-11-25T00:00:00"/>
    <d v="2025-12-15T00:00:00"/>
    <s v="Yes"/>
    <s v="Rejected"/>
    <s v="No"/>
    <s v="No"/>
    <x v="1"/>
    <x v="2"/>
    <s v="Not Applicable"/>
    <n v="57"/>
    <x v="2"/>
  </r>
  <r>
    <s v="DBR0832"/>
    <x v="4"/>
    <x v="4"/>
    <d v="2025-05-17T00:00:00"/>
    <d v="2025-05-28T00:00:00"/>
    <s v="Yes"/>
    <s v="Deficient"/>
    <s v="Yes"/>
    <s v="No"/>
    <x v="1"/>
    <x v="2"/>
    <s v="Not Applicable"/>
    <n v="38"/>
    <x v="2"/>
  </r>
  <r>
    <s v="DBR0833"/>
    <x v="0"/>
    <x v="3"/>
    <d v="2025-08-21T00:00:00"/>
    <d v="2025-10-02T00:00:00"/>
    <s v="No"/>
    <s v="Rejected"/>
    <s v="No"/>
    <s v="No"/>
    <x v="1"/>
    <x v="2"/>
    <s v="Not Applicable"/>
    <n v="79"/>
    <x v="2"/>
  </r>
  <r>
    <s v="DBR0834"/>
    <x v="4"/>
    <x v="4"/>
    <d v="2025-07-28T00:00:00"/>
    <d v="2025-08-03T00:00:00"/>
    <s v="Yes"/>
    <s v="Valid"/>
    <s v="No"/>
    <s v="No"/>
    <x v="0"/>
    <x v="472"/>
    <s v="Paid"/>
    <n v="42"/>
    <x v="2"/>
  </r>
  <r>
    <s v="DBR0835"/>
    <x v="0"/>
    <x v="0"/>
    <d v="2025-01-06T00:00:00"/>
    <d v="2025-02-02T00:00:00"/>
    <s v="Yes"/>
    <s v="Valid"/>
    <s v="No"/>
    <s v="No"/>
    <x v="0"/>
    <x v="473"/>
    <s v="Paid"/>
    <n v="47"/>
    <x v="3"/>
  </r>
  <r>
    <s v="DBR0836"/>
    <x v="5"/>
    <x v="3"/>
    <d v="2025-09-08T00:00:00"/>
    <d v="2025-10-07T00:00:00"/>
    <s v="Yes"/>
    <s v="Rejected"/>
    <s v="No"/>
    <s v="No"/>
    <x v="1"/>
    <x v="2"/>
    <s v="Not Applicable"/>
    <n v="61"/>
    <x v="1"/>
  </r>
  <r>
    <s v="DBR0837"/>
    <x v="0"/>
    <x v="4"/>
    <d v="2025-03-21T00:00:00"/>
    <d v="2025-05-03T00:00:00"/>
    <s v="No"/>
    <s v="Valid"/>
    <s v="No"/>
    <s v="No"/>
    <x v="0"/>
    <x v="474"/>
    <s v="Paid"/>
    <n v="64"/>
    <x v="1"/>
  </r>
  <r>
    <s v="DBR0838"/>
    <x v="5"/>
    <x v="0"/>
    <d v="2025-12-20T00:00:00"/>
    <d v="2026-01-01T00:00:00"/>
    <s v="Yes"/>
    <s v="Valid"/>
    <s v="No"/>
    <s v="No"/>
    <x v="0"/>
    <x v="475"/>
    <s v="Paid"/>
    <n v="30"/>
    <x v="3"/>
  </r>
  <r>
    <s v="DBR0839"/>
    <x v="2"/>
    <x v="1"/>
    <d v="2025-05-07T00:00:00"/>
    <d v="2025-05-08T00:00:00"/>
    <s v="Yes"/>
    <s v="Valid"/>
    <s v="No"/>
    <s v="No"/>
    <x v="0"/>
    <x v="476"/>
    <s v="Paid"/>
    <n v="40"/>
    <x v="0"/>
  </r>
  <r>
    <s v="DBR0840"/>
    <x v="1"/>
    <x v="3"/>
    <d v="2025-06-05T00:00:00"/>
    <d v="2025-06-09T00:00:00"/>
    <s v="Yes"/>
    <s v="Deficient"/>
    <s v="Yes"/>
    <s v="Yes"/>
    <x v="0"/>
    <x v="477"/>
    <s v="Paid"/>
    <n v="20"/>
    <x v="1"/>
  </r>
  <r>
    <s v="DBR0841"/>
    <x v="4"/>
    <x v="1"/>
    <d v="2025-08-15T00:00:00"/>
    <d v="2025-09-28T00:00:00"/>
    <s v="No"/>
    <s v="Valid"/>
    <s v="No"/>
    <s v="No"/>
    <x v="0"/>
    <x v="478"/>
    <s v="Paid"/>
    <n v="56"/>
    <x v="0"/>
  </r>
  <r>
    <s v="DBR0842"/>
    <x v="2"/>
    <x v="2"/>
    <d v="2025-10-27T00:00:00"/>
    <d v="2025-11-29T00:00:00"/>
    <s v="No"/>
    <s v="Deficient"/>
    <s v="Yes"/>
    <s v="Yes"/>
    <x v="0"/>
    <x v="479"/>
    <s v="Paid"/>
    <n v="45"/>
    <x v="3"/>
  </r>
  <r>
    <s v="DBR0843"/>
    <x v="3"/>
    <x v="1"/>
    <d v="2025-11-21T00:00:00"/>
    <d v="2025-12-30T00:00:00"/>
    <s v="No"/>
    <s v="Valid"/>
    <s v="No"/>
    <s v="No"/>
    <x v="0"/>
    <x v="480"/>
    <s v="Paid"/>
    <n v="58"/>
    <x v="0"/>
  </r>
  <r>
    <s v="DBR0844"/>
    <x v="4"/>
    <x v="4"/>
    <d v="2025-06-05T00:00:00"/>
    <d v="2025-06-17T00:00:00"/>
    <s v="Yes"/>
    <s v="Valid"/>
    <s v="No"/>
    <s v="No"/>
    <x v="0"/>
    <x v="481"/>
    <s v="Paid"/>
    <n v="51"/>
    <x v="1"/>
  </r>
  <r>
    <s v="DBR0845"/>
    <x v="0"/>
    <x v="0"/>
    <d v="2025-12-10T00:00:00"/>
    <d v="2026-01-03T00:00:00"/>
    <s v="Yes"/>
    <s v="Deficient"/>
    <s v="Yes"/>
    <s v="Yes"/>
    <x v="0"/>
    <x v="482"/>
    <s v="Paid"/>
    <n v="62"/>
    <x v="3"/>
  </r>
  <r>
    <s v="DBR0846"/>
    <x v="3"/>
    <x v="1"/>
    <d v="2025-04-20T00:00:00"/>
    <d v="2025-05-10T00:00:00"/>
    <s v="Yes"/>
    <s v="Valid"/>
    <s v="No"/>
    <s v="No"/>
    <x v="0"/>
    <x v="483"/>
    <s v="Paid"/>
    <n v="42"/>
    <x v="3"/>
  </r>
  <r>
    <s v="DBR0847"/>
    <x v="2"/>
    <x v="2"/>
    <d v="2025-05-07T00:00:00"/>
    <d v="2025-05-31T00:00:00"/>
    <s v="Yes"/>
    <s v="Deficient"/>
    <s v="Yes"/>
    <s v="Yes"/>
    <x v="0"/>
    <x v="484"/>
    <s v="Paid"/>
    <n v="57"/>
    <x v="0"/>
  </r>
  <r>
    <s v="DBR0848"/>
    <x v="4"/>
    <x v="3"/>
    <d v="2025-05-28T00:00:00"/>
    <d v="2025-07-03T00:00:00"/>
    <s v="No"/>
    <s v="Valid"/>
    <s v="No"/>
    <s v="No"/>
    <x v="0"/>
    <x v="485"/>
    <s v="Pending"/>
    <n v="46"/>
    <x v="3"/>
  </r>
  <r>
    <s v="DBR0849"/>
    <x v="0"/>
    <x v="1"/>
    <d v="2025-12-28T00:00:00"/>
    <d v="2026-01-12T00:00:00"/>
    <s v="Yes"/>
    <s v="Deficient"/>
    <s v="Yes"/>
    <s v="Yes"/>
    <x v="0"/>
    <x v="486"/>
    <s v="Paid"/>
    <n v="50"/>
    <x v="0"/>
  </r>
  <r>
    <s v="DBR0850"/>
    <x v="4"/>
    <x v="0"/>
    <d v="2025-01-21T00:00:00"/>
    <d v="2025-01-23T00:00:00"/>
    <s v="Yes"/>
    <s v="Rejected"/>
    <s v="No"/>
    <s v="No"/>
    <x v="1"/>
    <x v="2"/>
    <s v="Not Applicable"/>
    <n v="42"/>
    <x v="2"/>
  </r>
  <r>
    <s v="DBR0851"/>
    <x v="2"/>
    <x v="1"/>
    <d v="2025-06-20T00:00:00"/>
    <d v="2025-07-07T00:00:00"/>
    <s v="Yes"/>
    <s v="Deficient"/>
    <s v="Yes"/>
    <s v="No"/>
    <x v="1"/>
    <x v="2"/>
    <s v="Not Applicable"/>
    <n v="42"/>
    <x v="2"/>
  </r>
  <r>
    <s v="DBR0852"/>
    <x v="0"/>
    <x v="3"/>
    <d v="2025-12-01T00:00:00"/>
    <d v="2026-01-07T00:00:00"/>
    <s v="No"/>
    <s v="Deficient"/>
    <s v="Yes"/>
    <s v="Yes"/>
    <x v="0"/>
    <x v="487"/>
    <s v="Pending"/>
    <n v="74"/>
    <x v="1"/>
  </r>
  <r>
    <s v="DBR0853"/>
    <x v="0"/>
    <x v="3"/>
    <d v="2025-05-09T00:00:00"/>
    <d v="2025-05-23T00:00:00"/>
    <s v="Yes"/>
    <s v="Rejected"/>
    <s v="No"/>
    <s v="No"/>
    <x v="1"/>
    <x v="2"/>
    <s v="Not Applicable"/>
    <n v="22"/>
    <x v="0"/>
  </r>
  <r>
    <s v="DBR0854"/>
    <x v="0"/>
    <x v="1"/>
    <d v="2025-06-03T00:00:00"/>
    <d v="2025-06-15T00:00:00"/>
    <s v="Yes"/>
    <s v="Rejected"/>
    <s v="No"/>
    <s v="No"/>
    <x v="1"/>
    <x v="2"/>
    <s v="Not Applicable"/>
    <n v="49"/>
    <x v="3"/>
  </r>
  <r>
    <s v="DBR0855"/>
    <x v="1"/>
    <x v="3"/>
    <d v="2025-07-04T00:00:00"/>
    <d v="2025-07-31T00:00:00"/>
    <s v="Yes"/>
    <s v="Valid"/>
    <s v="No"/>
    <s v="No"/>
    <x v="0"/>
    <x v="488"/>
    <s v="Paid"/>
    <n v="34"/>
    <x v="1"/>
  </r>
  <r>
    <s v="DBR0856"/>
    <x v="5"/>
    <x v="0"/>
    <d v="2025-06-13T00:00:00"/>
    <d v="2025-07-05T00:00:00"/>
    <s v="Yes"/>
    <s v="Deficient"/>
    <s v="Yes"/>
    <s v="Yes"/>
    <x v="0"/>
    <x v="489"/>
    <s v="Paid"/>
    <n v="45"/>
    <x v="2"/>
  </r>
  <r>
    <s v="DBR0857"/>
    <x v="4"/>
    <x v="2"/>
    <d v="2025-09-10T00:00:00"/>
    <d v="2025-10-18T00:00:00"/>
    <s v="No"/>
    <s v="Valid"/>
    <s v="No"/>
    <s v="No"/>
    <x v="0"/>
    <x v="490"/>
    <s v="Pending"/>
    <n v="57"/>
    <x v="0"/>
  </r>
  <r>
    <s v="DBR0858"/>
    <x v="0"/>
    <x v="3"/>
    <d v="2025-04-24T00:00:00"/>
    <d v="2025-05-21T00:00:00"/>
    <s v="Yes"/>
    <s v="Valid"/>
    <s v="No"/>
    <s v="No"/>
    <x v="0"/>
    <x v="491"/>
    <s v="Paid"/>
    <n v="64"/>
    <x v="2"/>
  </r>
  <r>
    <s v="DBR0859"/>
    <x v="0"/>
    <x v="2"/>
    <d v="2025-08-12T00:00:00"/>
    <d v="2025-08-19T00:00:00"/>
    <s v="Yes"/>
    <s v="Deficient"/>
    <s v="Yes"/>
    <s v="Yes"/>
    <x v="0"/>
    <x v="492"/>
    <s v="Paid"/>
    <n v="21"/>
    <x v="1"/>
  </r>
  <r>
    <s v="DBR0860"/>
    <x v="3"/>
    <x v="3"/>
    <d v="2025-06-10T00:00:00"/>
    <d v="2025-07-02T00:00:00"/>
    <s v="Yes"/>
    <s v="Rejected"/>
    <s v="No"/>
    <s v="No"/>
    <x v="1"/>
    <x v="2"/>
    <s v="Not Applicable"/>
    <n v="58"/>
    <x v="0"/>
  </r>
  <r>
    <s v="DBR0861"/>
    <x v="0"/>
    <x v="1"/>
    <d v="2025-06-01T00:00:00"/>
    <d v="2025-06-19T00:00:00"/>
    <s v="Yes"/>
    <s v="Rejected"/>
    <s v="No"/>
    <s v="No"/>
    <x v="1"/>
    <x v="2"/>
    <s v="Not Applicable"/>
    <n v="44"/>
    <x v="0"/>
  </r>
  <r>
    <s v="DBR0862"/>
    <x v="0"/>
    <x v="2"/>
    <d v="2025-03-23T00:00:00"/>
    <d v="2025-04-18T00:00:00"/>
    <s v="Yes"/>
    <s v="Rejected"/>
    <s v="No"/>
    <s v="No"/>
    <x v="1"/>
    <x v="2"/>
    <s v="Not Applicable"/>
    <n v="38"/>
    <x v="3"/>
  </r>
  <r>
    <s v="DBR0863"/>
    <x v="4"/>
    <x v="1"/>
    <d v="2025-01-15T00:00:00"/>
    <d v="2025-02-06T00:00:00"/>
    <s v="Yes"/>
    <s v="Rejected"/>
    <s v="No"/>
    <s v="No"/>
    <x v="1"/>
    <x v="2"/>
    <s v="Not Applicable"/>
    <n v="55"/>
    <x v="2"/>
  </r>
  <r>
    <s v="DBR0864"/>
    <x v="5"/>
    <x v="1"/>
    <d v="2025-01-25T00:00:00"/>
    <d v="2025-02-05T00:00:00"/>
    <s v="Yes"/>
    <s v="Valid"/>
    <s v="No"/>
    <s v="No"/>
    <x v="0"/>
    <x v="493"/>
    <s v="Paid"/>
    <n v="24"/>
    <x v="3"/>
  </r>
  <r>
    <s v="DBR0865"/>
    <x v="5"/>
    <x v="4"/>
    <d v="2025-11-14T00:00:00"/>
    <d v="2025-12-05T00:00:00"/>
    <s v="Yes"/>
    <s v="Valid"/>
    <s v="No"/>
    <s v="No"/>
    <x v="0"/>
    <x v="494"/>
    <s v="Paid"/>
    <n v="48"/>
    <x v="1"/>
  </r>
  <r>
    <s v="DBR0866"/>
    <x v="0"/>
    <x v="0"/>
    <d v="2025-10-08T00:00:00"/>
    <d v="2025-11-17T00:00:00"/>
    <s v="No"/>
    <s v="Rejected"/>
    <s v="No"/>
    <s v="No"/>
    <x v="1"/>
    <x v="2"/>
    <s v="Not Applicable"/>
    <n v="57"/>
    <x v="2"/>
  </r>
  <r>
    <s v="DBR0867"/>
    <x v="5"/>
    <x v="1"/>
    <d v="2025-07-15T00:00:00"/>
    <d v="2025-07-25T00:00:00"/>
    <s v="Yes"/>
    <s v="Valid"/>
    <s v="No"/>
    <s v="No"/>
    <x v="0"/>
    <x v="495"/>
    <s v="Pending"/>
    <n v="48"/>
    <x v="3"/>
  </r>
  <r>
    <s v="DBR0868"/>
    <x v="0"/>
    <x v="4"/>
    <d v="2025-03-21T00:00:00"/>
    <d v="2025-04-25T00:00:00"/>
    <s v="No"/>
    <s v="Rejected"/>
    <s v="No"/>
    <s v="No"/>
    <x v="1"/>
    <x v="2"/>
    <s v="Not Applicable"/>
    <n v="49"/>
    <x v="1"/>
  </r>
  <r>
    <s v="DBR0869"/>
    <x v="1"/>
    <x v="2"/>
    <d v="2025-11-09T00:00:00"/>
    <d v="2025-11-28T00:00:00"/>
    <s v="Yes"/>
    <s v="Rejected"/>
    <s v="No"/>
    <s v="No"/>
    <x v="1"/>
    <x v="2"/>
    <s v="Not Applicable"/>
    <n v="29"/>
    <x v="2"/>
  </r>
  <r>
    <s v="DBR0870"/>
    <x v="0"/>
    <x v="0"/>
    <d v="2025-08-06T00:00:00"/>
    <d v="2025-09-20T00:00:00"/>
    <s v="No"/>
    <s v="Deficient"/>
    <s v="Yes"/>
    <s v="Yes"/>
    <x v="0"/>
    <x v="496"/>
    <s v="Paid"/>
    <n v="60"/>
    <x v="2"/>
  </r>
  <r>
    <s v="DBR0871"/>
    <x v="0"/>
    <x v="4"/>
    <d v="2025-12-19T00:00:00"/>
    <d v="2026-01-06T00:00:00"/>
    <s v="Yes"/>
    <s v="Rejected"/>
    <s v="No"/>
    <s v="No"/>
    <x v="1"/>
    <x v="2"/>
    <s v="Not Applicable"/>
    <n v="45"/>
    <x v="0"/>
  </r>
  <r>
    <s v="DBR0872"/>
    <x v="3"/>
    <x v="2"/>
    <d v="2025-05-17T00:00:00"/>
    <d v="2025-06-29T00:00:00"/>
    <s v="No"/>
    <s v="Valid"/>
    <s v="No"/>
    <s v="No"/>
    <x v="0"/>
    <x v="497"/>
    <s v="Paid"/>
    <n v="72"/>
    <x v="2"/>
  </r>
  <r>
    <s v="DBR0873"/>
    <x v="1"/>
    <x v="1"/>
    <d v="2025-01-25T00:00:00"/>
    <d v="2025-02-18T00:00:00"/>
    <s v="Yes"/>
    <s v="Valid"/>
    <s v="No"/>
    <s v="No"/>
    <x v="0"/>
    <x v="498"/>
    <s v="Paid"/>
    <n v="55"/>
    <x v="2"/>
  </r>
  <r>
    <s v="DBR0874"/>
    <x v="0"/>
    <x v="2"/>
    <d v="2025-09-05T00:00:00"/>
    <d v="2025-10-05T00:00:00"/>
    <s v="Yes"/>
    <s v="Rejected"/>
    <s v="No"/>
    <s v="No"/>
    <x v="1"/>
    <x v="2"/>
    <s v="Not Applicable"/>
    <n v="56"/>
    <x v="3"/>
  </r>
  <r>
    <s v="DBR0875"/>
    <x v="0"/>
    <x v="4"/>
    <d v="2025-04-18T00:00:00"/>
    <d v="2025-05-19T00:00:00"/>
    <s v="No"/>
    <s v="Rejected"/>
    <s v="No"/>
    <s v="No"/>
    <x v="1"/>
    <x v="2"/>
    <s v="Not Applicable"/>
    <n v="59"/>
    <x v="2"/>
  </r>
  <r>
    <s v="DBR0876"/>
    <x v="2"/>
    <x v="1"/>
    <d v="2025-03-01T00:00:00"/>
    <d v="2025-03-09T00:00:00"/>
    <s v="Yes"/>
    <s v="Valid"/>
    <s v="No"/>
    <s v="No"/>
    <x v="0"/>
    <x v="499"/>
    <s v="Paid"/>
    <n v="47"/>
    <x v="1"/>
  </r>
  <r>
    <s v="DBR0877"/>
    <x v="5"/>
    <x v="4"/>
    <d v="2025-07-02T00:00:00"/>
    <d v="2025-08-06T00:00:00"/>
    <s v="No"/>
    <s v="Rejected"/>
    <s v="No"/>
    <s v="No"/>
    <x v="1"/>
    <x v="2"/>
    <s v="Not Applicable"/>
    <n v="72"/>
    <x v="3"/>
  </r>
  <r>
    <s v="DBR0878"/>
    <x v="1"/>
    <x v="2"/>
    <d v="2025-08-14T00:00:00"/>
    <d v="2025-09-08T00:00:00"/>
    <s v="Yes"/>
    <s v="Valid"/>
    <s v="No"/>
    <s v="No"/>
    <x v="0"/>
    <x v="500"/>
    <s v="Paid"/>
    <n v="64"/>
    <x v="0"/>
  </r>
  <r>
    <s v="DBR0879"/>
    <x v="3"/>
    <x v="1"/>
    <d v="2025-01-28T00:00:00"/>
    <d v="2025-02-03T00:00:00"/>
    <s v="Yes"/>
    <s v="Valid"/>
    <s v="No"/>
    <s v="No"/>
    <x v="0"/>
    <x v="501"/>
    <s v="Paid"/>
    <n v="25"/>
    <x v="2"/>
  </r>
  <r>
    <s v="DBR0880"/>
    <x v="0"/>
    <x v="2"/>
    <d v="2025-12-19T00:00:00"/>
    <d v="2026-01-21T00:00:00"/>
    <s v="No"/>
    <s v="Valid"/>
    <s v="No"/>
    <s v="No"/>
    <x v="0"/>
    <x v="502"/>
    <s v="Paid"/>
    <n v="57"/>
    <x v="1"/>
  </r>
  <r>
    <s v="DBR0881"/>
    <x v="0"/>
    <x v="0"/>
    <d v="2025-02-24T00:00:00"/>
    <d v="2025-02-26T00:00:00"/>
    <s v="Yes"/>
    <s v="Valid"/>
    <s v="No"/>
    <s v="No"/>
    <x v="0"/>
    <x v="503"/>
    <s v="Paid"/>
    <n v="39"/>
    <x v="3"/>
  </r>
  <r>
    <s v="DBR0882"/>
    <x v="5"/>
    <x v="4"/>
    <d v="2025-02-21T00:00:00"/>
    <d v="2025-03-21T00:00:00"/>
    <s v="Yes"/>
    <s v="Rejected"/>
    <s v="No"/>
    <s v="No"/>
    <x v="1"/>
    <x v="2"/>
    <s v="Not Applicable"/>
    <n v="66"/>
    <x v="3"/>
  </r>
  <r>
    <s v="DBR0883"/>
    <x v="5"/>
    <x v="3"/>
    <d v="2025-11-05T00:00:00"/>
    <d v="2025-12-01T00:00:00"/>
    <s v="Yes"/>
    <s v="Valid"/>
    <s v="No"/>
    <s v="No"/>
    <x v="0"/>
    <x v="504"/>
    <s v="Paid"/>
    <n v="31"/>
    <x v="1"/>
  </r>
  <r>
    <s v="DBR0884"/>
    <x v="1"/>
    <x v="1"/>
    <d v="2025-06-21T00:00:00"/>
    <d v="2025-07-16T00:00:00"/>
    <s v="Yes"/>
    <s v="Deficient"/>
    <s v="Yes"/>
    <s v="Yes"/>
    <x v="0"/>
    <x v="505"/>
    <s v="Paid"/>
    <n v="59"/>
    <x v="0"/>
  </r>
  <r>
    <s v="DBR0885"/>
    <x v="5"/>
    <x v="0"/>
    <d v="2025-07-16T00:00:00"/>
    <d v="2025-08-03T00:00:00"/>
    <s v="Yes"/>
    <s v="Valid"/>
    <s v="No"/>
    <s v="No"/>
    <x v="0"/>
    <x v="506"/>
    <s v="Paid"/>
    <n v="57"/>
    <x v="3"/>
  </r>
  <r>
    <s v="DBR0886"/>
    <x v="0"/>
    <x v="2"/>
    <d v="2025-05-09T00:00:00"/>
    <d v="2025-06-23T00:00:00"/>
    <s v="No"/>
    <s v="Deficient"/>
    <s v="Yes"/>
    <s v="Yes"/>
    <x v="0"/>
    <x v="507"/>
    <s v="Paid"/>
    <n v="68"/>
    <x v="2"/>
  </r>
  <r>
    <s v="DBR0887"/>
    <x v="3"/>
    <x v="1"/>
    <d v="2025-08-20T00:00:00"/>
    <d v="2025-09-28T00:00:00"/>
    <s v="No"/>
    <s v="Valid"/>
    <s v="No"/>
    <s v="No"/>
    <x v="0"/>
    <x v="508"/>
    <s v="Paid"/>
    <n v="64"/>
    <x v="2"/>
  </r>
  <r>
    <s v="DBR0888"/>
    <x v="3"/>
    <x v="3"/>
    <d v="2025-05-14T00:00:00"/>
    <d v="2025-05-26T00:00:00"/>
    <s v="Yes"/>
    <s v="Deficient"/>
    <s v="Yes"/>
    <s v="Yes"/>
    <x v="0"/>
    <x v="509"/>
    <s v="Paid"/>
    <n v="23"/>
    <x v="0"/>
  </r>
  <r>
    <s v="DBR0889"/>
    <x v="4"/>
    <x v="1"/>
    <d v="2025-12-16T00:00:00"/>
    <d v="2025-12-21T00:00:00"/>
    <s v="Yes"/>
    <s v="Deficient"/>
    <s v="Yes"/>
    <s v="No"/>
    <x v="1"/>
    <x v="2"/>
    <s v="Not Applicable"/>
    <n v="20"/>
    <x v="1"/>
  </r>
  <r>
    <s v="DBR0890"/>
    <x v="5"/>
    <x v="0"/>
    <d v="2025-02-17T00:00:00"/>
    <d v="2025-04-03T00:00:00"/>
    <s v="No"/>
    <s v="Valid"/>
    <s v="No"/>
    <s v="No"/>
    <x v="0"/>
    <x v="510"/>
    <s v="Pending"/>
    <n v="57"/>
    <x v="3"/>
  </r>
  <r>
    <s v="DBR0891"/>
    <x v="3"/>
    <x v="4"/>
    <d v="2025-04-03T00:00:00"/>
    <d v="2025-04-22T00:00:00"/>
    <s v="Yes"/>
    <s v="Rejected"/>
    <s v="No"/>
    <s v="No"/>
    <x v="1"/>
    <x v="2"/>
    <s v="Not Applicable"/>
    <n v="29"/>
    <x v="2"/>
  </r>
  <r>
    <s v="DBR0892"/>
    <x v="0"/>
    <x v="1"/>
    <d v="2025-08-25T00:00:00"/>
    <d v="2025-10-07T00:00:00"/>
    <s v="No"/>
    <s v="Rejected"/>
    <s v="No"/>
    <s v="No"/>
    <x v="1"/>
    <x v="2"/>
    <s v="Not Applicable"/>
    <n v="66"/>
    <x v="2"/>
  </r>
  <r>
    <s v="DBR0893"/>
    <x v="1"/>
    <x v="2"/>
    <d v="2025-04-04T00:00:00"/>
    <d v="2025-05-15T00:00:00"/>
    <s v="No"/>
    <s v="Rejected"/>
    <s v="No"/>
    <s v="No"/>
    <x v="1"/>
    <x v="2"/>
    <s v="Not Applicable"/>
    <n v="48"/>
    <x v="2"/>
  </r>
  <r>
    <s v="DBR0894"/>
    <x v="1"/>
    <x v="1"/>
    <d v="2025-08-05T00:00:00"/>
    <d v="2025-08-20T00:00:00"/>
    <s v="Yes"/>
    <s v="Deficient"/>
    <s v="Yes"/>
    <s v="No"/>
    <x v="1"/>
    <x v="2"/>
    <s v="Not Applicable"/>
    <n v="41"/>
    <x v="1"/>
  </r>
  <r>
    <s v="DBR0895"/>
    <x v="2"/>
    <x v="3"/>
    <d v="2025-04-21T00:00:00"/>
    <d v="2025-05-13T00:00:00"/>
    <s v="Yes"/>
    <s v="Rejected"/>
    <s v="No"/>
    <s v="No"/>
    <x v="1"/>
    <x v="2"/>
    <s v="Not Applicable"/>
    <n v="28"/>
    <x v="2"/>
  </r>
  <r>
    <s v="DBR0896"/>
    <x v="0"/>
    <x v="1"/>
    <d v="2025-07-20T00:00:00"/>
    <d v="2025-07-29T00:00:00"/>
    <s v="Yes"/>
    <s v="Valid"/>
    <s v="No"/>
    <s v="No"/>
    <x v="0"/>
    <x v="511"/>
    <s v="Paid"/>
    <n v="40"/>
    <x v="1"/>
  </r>
  <r>
    <s v="DBR0897"/>
    <x v="3"/>
    <x v="1"/>
    <d v="2025-02-06T00:00:00"/>
    <d v="2025-02-21T00:00:00"/>
    <s v="Yes"/>
    <s v="Rejected"/>
    <s v="No"/>
    <s v="No"/>
    <x v="1"/>
    <x v="2"/>
    <s v="Not Applicable"/>
    <n v="40"/>
    <x v="1"/>
  </r>
  <r>
    <s v="DBR0898"/>
    <x v="1"/>
    <x v="0"/>
    <d v="2025-04-09T00:00:00"/>
    <d v="2025-05-24T00:00:00"/>
    <s v="No"/>
    <s v="Valid"/>
    <s v="No"/>
    <s v="No"/>
    <x v="0"/>
    <x v="512"/>
    <s v="Paid"/>
    <n v="64"/>
    <x v="1"/>
  </r>
  <r>
    <s v="DBR0899"/>
    <x v="5"/>
    <x v="1"/>
    <d v="2025-03-17T00:00:00"/>
    <d v="2025-04-10T00:00:00"/>
    <s v="Yes"/>
    <s v="Valid"/>
    <s v="No"/>
    <s v="No"/>
    <x v="0"/>
    <x v="513"/>
    <s v="Paid"/>
    <n v="44"/>
    <x v="2"/>
  </r>
  <r>
    <s v="DBR0900"/>
    <x v="2"/>
    <x v="2"/>
    <d v="2025-06-09T00:00:00"/>
    <d v="2025-07-16T00:00:00"/>
    <s v="No"/>
    <s v="Valid"/>
    <s v="No"/>
    <s v="No"/>
    <x v="0"/>
    <x v="514"/>
    <s v="Paid"/>
    <n v="50"/>
    <x v="3"/>
  </r>
  <r>
    <s v="DBR0901"/>
    <x v="2"/>
    <x v="0"/>
    <d v="2025-05-04T00:00:00"/>
    <d v="2025-06-12T00:00:00"/>
    <s v="No"/>
    <s v="Rejected"/>
    <s v="No"/>
    <s v="No"/>
    <x v="1"/>
    <x v="2"/>
    <s v="Not Applicable"/>
    <n v="57"/>
    <x v="2"/>
  </r>
  <r>
    <s v="DBR0902"/>
    <x v="2"/>
    <x v="4"/>
    <d v="2025-06-06T00:00:00"/>
    <d v="2025-06-16T00:00:00"/>
    <s v="Yes"/>
    <s v="Valid"/>
    <s v="No"/>
    <s v="No"/>
    <x v="0"/>
    <x v="515"/>
    <s v="Paid"/>
    <n v="29"/>
    <x v="1"/>
  </r>
  <r>
    <s v="DBR0903"/>
    <x v="3"/>
    <x v="4"/>
    <d v="2025-05-03T00:00:00"/>
    <d v="2025-06-10T00:00:00"/>
    <s v="No"/>
    <s v="Valid"/>
    <s v="No"/>
    <s v="No"/>
    <x v="0"/>
    <x v="516"/>
    <s v="Paid"/>
    <n v="46"/>
    <x v="3"/>
  </r>
  <r>
    <s v="DBR0904"/>
    <x v="2"/>
    <x v="4"/>
    <d v="2025-03-04T00:00:00"/>
    <d v="2025-03-13T00:00:00"/>
    <s v="Yes"/>
    <s v="Deficient"/>
    <s v="Yes"/>
    <s v="No"/>
    <x v="1"/>
    <x v="2"/>
    <s v="Not Applicable"/>
    <n v="17"/>
    <x v="0"/>
  </r>
  <r>
    <s v="DBR0905"/>
    <x v="3"/>
    <x v="2"/>
    <d v="2025-01-03T00:00:00"/>
    <d v="2025-01-20T00:00:00"/>
    <s v="Yes"/>
    <s v="Valid"/>
    <s v="No"/>
    <s v="No"/>
    <x v="0"/>
    <x v="517"/>
    <s v="Paid"/>
    <n v="41"/>
    <x v="2"/>
  </r>
  <r>
    <s v="DBR0906"/>
    <x v="5"/>
    <x v="3"/>
    <d v="2025-11-18T00:00:00"/>
    <d v="2025-12-27T00:00:00"/>
    <s v="No"/>
    <s v="Deficient"/>
    <s v="Yes"/>
    <s v="Yes"/>
    <x v="0"/>
    <x v="518"/>
    <s v="Paid"/>
    <n v="50"/>
    <x v="0"/>
  </r>
  <r>
    <s v="DBR0907"/>
    <x v="3"/>
    <x v="2"/>
    <d v="2025-09-03T00:00:00"/>
    <d v="2025-09-08T00:00:00"/>
    <s v="Yes"/>
    <s v="Deficient"/>
    <s v="Yes"/>
    <s v="No"/>
    <x v="1"/>
    <x v="2"/>
    <s v="Not Applicable"/>
    <n v="45"/>
    <x v="1"/>
  </r>
  <r>
    <s v="DBR0908"/>
    <x v="4"/>
    <x v="3"/>
    <d v="2025-05-03T00:00:00"/>
    <d v="2025-06-13T00:00:00"/>
    <s v="No"/>
    <s v="Valid"/>
    <s v="No"/>
    <s v="No"/>
    <x v="0"/>
    <x v="519"/>
    <s v="Pending"/>
    <n v="69"/>
    <x v="1"/>
  </r>
  <r>
    <s v="DBR0909"/>
    <x v="1"/>
    <x v="4"/>
    <d v="2025-03-18T00:00:00"/>
    <d v="2025-04-01T00:00:00"/>
    <s v="Yes"/>
    <s v="Valid"/>
    <s v="No"/>
    <s v="No"/>
    <x v="0"/>
    <x v="520"/>
    <s v="Paid"/>
    <n v="19"/>
    <x v="0"/>
  </r>
  <r>
    <s v="DBR0910"/>
    <x v="1"/>
    <x v="2"/>
    <d v="2025-10-23T00:00:00"/>
    <d v="2025-11-01T00:00:00"/>
    <s v="Yes"/>
    <s v="Valid"/>
    <s v="No"/>
    <s v="No"/>
    <x v="0"/>
    <x v="521"/>
    <s v="Paid"/>
    <n v="28"/>
    <x v="0"/>
  </r>
  <r>
    <s v="DBR0911"/>
    <x v="4"/>
    <x v="0"/>
    <d v="2025-08-03T00:00:00"/>
    <d v="2025-09-03T00:00:00"/>
    <s v="No"/>
    <s v="Rejected"/>
    <s v="No"/>
    <s v="No"/>
    <x v="1"/>
    <x v="2"/>
    <s v="Not Applicable"/>
    <n v="60"/>
    <x v="0"/>
  </r>
  <r>
    <s v="DBR0912"/>
    <x v="4"/>
    <x v="4"/>
    <d v="2025-02-18T00:00:00"/>
    <d v="2025-03-23T00:00:00"/>
    <s v="No"/>
    <s v="Deficient"/>
    <s v="Yes"/>
    <s v="Yes"/>
    <x v="0"/>
    <x v="522"/>
    <s v="Paid"/>
    <n v="72"/>
    <x v="0"/>
  </r>
  <r>
    <s v="DBR0913"/>
    <x v="1"/>
    <x v="3"/>
    <d v="2025-05-11T00:00:00"/>
    <d v="2025-05-13T00:00:00"/>
    <s v="Yes"/>
    <s v="Deficient"/>
    <s v="Yes"/>
    <s v="No"/>
    <x v="1"/>
    <x v="2"/>
    <s v="Not Applicable"/>
    <n v="16"/>
    <x v="3"/>
  </r>
  <r>
    <s v="DBR0914"/>
    <x v="5"/>
    <x v="3"/>
    <d v="2025-03-25T00:00:00"/>
    <d v="2025-05-06T00:00:00"/>
    <s v="No"/>
    <s v="Rejected"/>
    <s v="No"/>
    <s v="No"/>
    <x v="1"/>
    <x v="2"/>
    <s v="Not Applicable"/>
    <n v="74"/>
    <x v="0"/>
  </r>
  <r>
    <s v="DBR0915"/>
    <x v="1"/>
    <x v="0"/>
    <d v="2025-05-24T00:00:00"/>
    <d v="2025-06-25T00:00:00"/>
    <s v="No"/>
    <s v="Deficient"/>
    <s v="Yes"/>
    <s v="Yes"/>
    <x v="0"/>
    <x v="523"/>
    <s v="Paid"/>
    <n v="70"/>
    <x v="2"/>
  </r>
  <r>
    <s v="DBR0916"/>
    <x v="1"/>
    <x v="2"/>
    <d v="2025-03-21T00:00:00"/>
    <d v="2025-04-25T00:00:00"/>
    <s v="No"/>
    <s v="Deficient"/>
    <s v="Yes"/>
    <s v="Yes"/>
    <x v="0"/>
    <x v="524"/>
    <s v="Paid"/>
    <n v="40"/>
    <x v="3"/>
  </r>
  <r>
    <s v="DBR0917"/>
    <x v="5"/>
    <x v="3"/>
    <d v="2025-04-22T00:00:00"/>
    <d v="2025-06-05T00:00:00"/>
    <s v="No"/>
    <s v="Deficient"/>
    <s v="Yes"/>
    <s v="No"/>
    <x v="1"/>
    <x v="2"/>
    <s v="Not Applicable"/>
    <n v="71"/>
    <x v="1"/>
  </r>
  <r>
    <s v="DBR0918"/>
    <x v="3"/>
    <x v="0"/>
    <d v="2025-08-05T00:00:00"/>
    <d v="2025-08-14T00:00:00"/>
    <s v="Yes"/>
    <s v="Rejected"/>
    <s v="No"/>
    <s v="No"/>
    <x v="1"/>
    <x v="2"/>
    <s v="Not Applicable"/>
    <n v="25"/>
    <x v="2"/>
  </r>
  <r>
    <s v="DBR0919"/>
    <x v="4"/>
    <x v="4"/>
    <d v="2025-09-24T00:00:00"/>
    <d v="2025-11-04T00:00:00"/>
    <s v="No"/>
    <s v="Rejected"/>
    <s v="No"/>
    <s v="No"/>
    <x v="1"/>
    <x v="2"/>
    <s v="Not Applicable"/>
    <n v="76"/>
    <x v="0"/>
  </r>
  <r>
    <s v="DBR0920"/>
    <x v="2"/>
    <x v="0"/>
    <d v="2025-10-07T00:00:00"/>
    <d v="2025-10-26T00:00:00"/>
    <s v="Yes"/>
    <s v="Deficient"/>
    <s v="Yes"/>
    <s v="Yes"/>
    <x v="0"/>
    <x v="525"/>
    <s v="Paid"/>
    <n v="29"/>
    <x v="3"/>
  </r>
  <r>
    <s v="DBR0921"/>
    <x v="0"/>
    <x v="1"/>
    <d v="2025-07-13T00:00:00"/>
    <d v="2025-08-18T00:00:00"/>
    <s v="No"/>
    <s v="Rejected"/>
    <s v="No"/>
    <s v="No"/>
    <x v="1"/>
    <x v="2"/>
    <s v="Not Applicable"/>
    <n v="68"/>
    <x v="1"/>
  </r>
  <r>
    <s v="DBR0922"/>
    <x v="2"/>
    <x v="3"/>
    <d v="2025-12-18T00:00:00"/>
    <d v="2026-01-03T00:00:00"/>
    <s v="Yes"/>
    <s v="Deficient"/>
    <s v="Yes"/>
    <s v="No"/>
    <x v="1"/>
    <x v="2"/>
    <s v="Not Applicable"/>
    <n v="48"/>
    <x v="3"/>
  </r>
  <r>
    <s v="DBR0923"/>
    <x v="3"/>
    <x v="4"/>
    <d v="2025-10-01T00:00:00"/>
    <d v="2025-10-14T00:00:00"/>
    <s v="Yes"/>
    <s v="Valid"/>
    <s v="No"/>
    <s v="No"/>
    <x v="0"/>
    <x v="526"/>
    <s v="Paid"/>
    <n v="22"/>
    <x v="0"/>
  </r>
  <r>
    <s v="DBR0924"/>
    <x v="1"/>
    <x v="2"/>
    <d v="2025-04-04T00:00:00"/>
    <d v="2025-04-09T00:00:00"/>
    <s v="Yes"/>
    <s v="Valid"/>
    <s v="No"/>
    <s v="No"/>
    <x v="0"/>
    <x v="527"/>
    <s v="Pending"/>
    <n v="11"/>
    <x v="1"/>
  </r>
  <r>
    <s v="DBR0925"/>
    <x v="5"/>
    <x v="1"/>
    <d v="2025-03-22T00:00:00"/>
    <d v="2025-04-05T00:00:00"/>
    <s v="Yes"/>
    <s v="Valid"/>
    <s v="No"/>
    <s v="No"/>
    <x v="0"/>
    <x v="528"/>
    <s v="Paid"/>
    <n v="21"/>
    <x v="3"/>
  </r>
  <r>
    <s v="DBR0926"/>
    <x v="0"/>
    <x v="2"/>
    <d v="2025-06-13T00:00:00"/>
    <d v="2025-07-24T00:00:00"/>
    <s v="No"/>
    <s v="Rejected"/>
    <s v="No"/>
    <s v="No"/>
    <x v="1"/>
    <x v="2"/>
    <s v="Not Applicable"/>
    <n v="50"/>
    <x v="0"/>
  </r>
  <r>
    <s v="DBR0927"/>
    <x v="4"/>
    <x v="1"/>
    <d v="2025-12-14T00:00:00"/>
    <d v="2026-01-07T00:00:00"/>
    <s v="Yes"/>
    <s v="Valid"/>
    <s v="No"/>
    <s v="No"/>
    <x v="0"/>
    <x v="529"/>
    <s v="Paid"/>
    <n v="53"/>
    <x v="2"/>
  </r>
  <r>
    <s v="DBR0928"/>
    <x v="0"/>
    <x v="4"/>
    <d v="2025-01-03T00:00:00"/>
    <d v="2025-02-06T00:00:00"/>
    <s v="No"/>
    <s v="Rejected"/>
    <s v="No"/>
    <s v="No"/>
    <x v="1"/>
    <x v="2"/>
    <s v="Not Applicable"/>
    <n v="63"/>
    <x v="2"/>
  </r>
  <r>
    <s v="DBR0929"/>
    <x v="2"/>
    <x v="2"/>
    <d v="2025-03-10T00:00:00"/>
    <d v="2025-04-08T00:00:00"/>
    <s v="Yes"/>
    <s v="Deficient"/>
    <s v="Yes"/>
    <s v="Yes"/>
    <x v="0"/>
    <x v="530"/>
    <s v="Pending"/>
    <n v="40"/>
    <x v="0"/>
  </r>
  <r>
    <s v="DBR0930"/>
    <x v="4"/>
    <x v="2"/>
    <d v="2025-01-21T00:00:00"/>
    <d v="2025-02-04T00:00:00"/>
    <s v="Yes"/>
    <s v="Rejected"/>
    <s v="No"/>
    <s v="No"/>
    <x v="1"/>
    <x v="2"/>
    <s v="Not Applicable"/>
    <n v="42"/>
    <x v="0"/>
  </r>
  <r>
    <s v="DBR0931"/>
    <x v="1"/>
    <x v="2"/>
    <d v="2025-01-05T00:00:00"/>
    <d v="2025-01-10T00:00:00"/>
    <s v="Yes"/>
    <s v="Valid"/>
    <s v="No"/>
    <s v="No"/>
    <x v="0"/>
    <x v="531"/>
    <s v="Paid"/>
    <n v="35"/>
    <x v="1"/>
  </r>
  <r>
    <s v="DBR0932"/>
    <x v="0"/>
    <x v="4"/>
    <d v="2025-05-23T00:00:00"/>
    <d v="2025-05-25T00:00:00"/>
    <s v="Yes"/>
    <s v="Rejected"/>
    <s v="No"/>
    <s v="No"/>
    <x v="1"/>
    <x v="2"/>
    <s v="Not Applicable"/>
    <n v="21"/>
    <x v="1"/>
  </r>
  <r>
    <s v="DBR0933"/>
    <x v="0"/>
    <x v="1"/>
    <d v="2025-08-16T00:00:00"/>
    <d v="2025-09-18T00:00:00"/>
    <s v="No"/>
    <s v="Valid"/>
    <s v="No"/>
    <s v="No"/>
    <x v="0"/>
    <x v="532"/>
    <s v="Paid"/>
    <n v="68"/>
    <x v="3"/>
  </r>
  <r>
    <s v="DBR0934"/>
    <x v="0"/>
    <x v="2"/>
    <d v="2025-03-11T00:00:00"/>
    <d v="2025-03-16T00:00:00"/>
    <s v="Yes"/>
    <s v="Deficient"/>
    <s v="Yes"/>
    <s v="No"/>
    <x v="1"/>
    <x v="2"/>
    <s v="Not Applicable"/>
    <n v="17"/>
    <x v="1"/>
  </r>
  <r>
    <s v="DBR0935"/>
    <x v="1"/>
    <x v="2"/>
    <d v="2025-01-13T00:00:00"/>
    <d v="2025-01-28T00:00:00"/>
    <s v="Yes"/>
    <s v="Rejected"/>
    <s v="No"/>
    <s v="No"/>
    <x v="1"/>
    <x v="2"/>
    <s v="Not Applicable"/>
    <n v="24"/>
    <x v="3"/>
  </r>
  <r>
    <s v="DBR0936"/>
    <x v="0"/>
    <x v="4"/>
    <d v="2025-06-19T00:00:00"/>
    <d v="2025-07-11T00:00:00"/>
    <s v="Yes"/>
    <s v="Valid"/>
    <s v="No"/>
    <s v="No"/>
    <x v="0"/>
    <x v="533"/>
    <s v="Paid"/>
    <n v="34"/>
    <x v="1"/>
  </r>
  <r>
    <s v="DBR0937"/>
    <x v="1"/>
    <x v="1"/>
    <d v="2025-10-12T00:00:00"/>
    <d v="2025-11-19T00:00:00"/>
    <s v="No"/>
    <s v="Deficient"/>
    <s v="Yes"/>
    <s v="Yes"/>
    <x v="0"/>
    <x v="534"/>
    <s v="Paid"/>
    <n v="53"/>
    <x v="0"/>
  </r>
  <r>
    <s v="DBR0938"/>
    <x v="5"/>
    <x v="0"/>
    <d v="2025-08-18T00:00:00"/>
    <d v="2025-08-22T00:00:00"/>
    <s v="Yes"/>
    <s v="Valid"/>
    <s v="No"/>
    <s v="No"/>
    <x v="0"/>
    <x v="535"/>
    <s v="Paid"/>
    <n v="33"/>
    <x v="1"/>
  </r>
  <r>
    <s v="DBR0939"/>
    <x v="4"/>
    <x v="0"/>
    <d v="2025-10-05T00:00:00"/>
    <d v="2025-10-16T00:00:00"/>
    <s v="Yes"/>
    <s v="Valid"/>
    <s v="No"/>
    <s v="No"/>
    <x v="0"/>
    <x v="536"/>
    <s v="Paid"/>
    <n v="49"/>
    <x v="2"/>
  </r>
  <r>
    <s v="DBR0940"/>
    <x v="1"/>
    <x v="1"/>
    <d v="2025-05-16T00:00:00"/>
    <d v="2025-06-28T00:00:00"/>
    <s v="No"/>
    <s v="Rejected"/>
    <s v="No"/>
    <s v="No"/>
    <x v="1"/>
    <x v="2"/>
    <s v="Not Applicable"/>
    <n v="78"/>
    <x v="1"/>
  </r>
  <r>
    <s v="DBR0941"/>
    <x v="3"/>
    <x v="0"/>
    <d v="2025-09-11T00:00:00"/>
    <d v="2025-09-25T00:00:00"/>
    <s v="Yes"/>
    <s v="Deficient"/>
    <s v="Yes"/>
    <s v="No"/>
    <x v="1"/>
    <x v="2"/>
    <s v="Not Applicable"/>
    <n v="42"/>
    <x v="3"/>
  </r>
  <r>
    <s v="DBR0942"/>
    <x v="1"/>
    <x v="4"/>
    <d v="2025-03-07T00:00:00"/>
    <d v="2025-04-15T00:00:00"/>
    <s v="No"/>
    <s v="Deficient"/>
    <s v="Yes"/>
    <s v="Yes"/>
    <x v="0"/>
    <x v="537"/>
    <s v="Paid"/>
    <n v="64"/>
    <x v="2"/>
  </r>
  <r>
    <s v="DBR0943"/>
    <x v="5"/>
    <x v="0"/>
    <d v="2025-10-06T00:00:00"/>
    <d v="2025-11-12T00:00:00"/>
    <s v="No"/>
    <s v="Deficient"/>
    <s v="Yes"/>
    <s v="Yes"/>
    <x v="0"/>
    <x v="538"/>
    <s v="Paid"/>
    <n v="51"/>
    <x v="3"/>
  </r>
  <r>
    <s v="DBR0944"/>
    <x v="5"/>
    <x v="2"/>
    <d v="2025-05-17T00:00:00"/>
    <d v="2025-06-29T00:00:00"/>
    <s v="No"/>
    <s v="Rejected"/>
    <s v="No"/>
    <s v="No"/>
    <x v="1"/>
    <x v="2"/>
    <s v="Not Applicable"/>
    <n v="61"/>
    <x v="3"/>
  </r>
  <r>
    <s v="DBR0945"/>
    <x v="3"/>
    <x v="4"/>
    <d v="2025-04-15T00:00:00"/>
    <d v="2025-05-13T00:00:00"/>
    <s v="Yes"/>
    <s v="Valid"/>
    <s v="No"/>
    <s v="No"/>
    <x v="0"/>
    <x v="539"/>
    <s v="Paid"/>
    <n v="60"/>
    <x v="1"/>
  </r>
  <r>
    <s v="DBR0946"/>
    <x v="0"/>
    <x v="4"/>
    <d v="2025-04-10T00:00:00"/>
    <d v="2025-05-14T00:00:00"/>
    <s v="No"/>
    <s v="Rejected"/>
    <s v="No"/>
    <s v="No"/>
    <x v="1"/>
    <x v="2"/>
    <s v="Not Applicable"/>
    <n v="61"/>
    <x v="2"/>
  </r>
  <r>
    <s v="DBR0947"/>
    <x v="2"/>
    <x v="2"/>
    <d v="2025-04-11T00:00:00"/>
    <d v="2025-05-21T00:00:00"/>
    <s v="No"/>
    <s v="Deficient"/>
    <s v="Yes"/>
    <s v="No"/>
    <x v="1"/>
    <x v="2"/>
    <s v="Not Applicable"/>
    <n v="58"/>
    <x v="1"/>
  </r>
  <r>
    <s v="DBR0948"/>
    <x v="5"/>
    <x v="0"/>
    <d v="2025-01-26T00:00:00"/>
    <d v="2025-02-21T00:00:00"/>
    <s v="Yes"/>
    <s v="Rejected"/>
    <s v="No"/>
    <s v="No"/>
    <x v="1"/>
    <x v="2"/>
    <s v="Not Applicable"/>
    <n v="36"/>
    <x v="1"/>
  </r>
  <r>
    <s v="DBR0949"/>
    <x v="0"/>
    <x v="1"/>
    <d v="2025-06-11T00:00:00"/>
    <d v="2025-07-01T00:00:00"/>
    <s v="Yes"/>
    <s v="Deficient"/>
    <s v="Yes"/>
    <s v="Yes"/>
    <x v="0"/>
    <x v="540"/>
    <s v="Paid"/>
    <n v="59"/>
    <x v="0"/>
  </r>
  <r>
    <s v="DBR0950"/>
    <x v="0"/>
    <x v="2"/>
    <d v="2025-03-02T00:00:00"/>
    <d v="2025-04-10T00:00:00"/>
    <s v="No"/>
    <s v="Valid"/>
    <s v="No"/>
    <s v="No"/>
    <x v="0"/>
    <x v="541"/>
    <s v="Paid"/>
    <n v="44"/>
    <x v="3"/>
  </r>
  <r>
    <s v="DBR0951"/>
    <x v="5"/>
    <x v="4"/>
    <d v="2025-07-20T00:00:00"/>
    <d v="2025-08-10T00:00:00"/>
    <s v="Yes"/>
    <s v="Rejected"/>
    <s v="No"/>
    <s v="No"/>
    <x v="1"/>
    <x v="2"/>
    <s v="Not Applicable"/>
    <n v="31"/>
    <x v="0"/>
  </r>
  <r>
    <s v="DBR0952"/>
    <x v="3"/>
    <x v="2"/>
    <d v="2025-03-16T00:00:00"/>
    <d v="2025-04-29T00:00:00"/>
    <s v="No"/>
    <s v="Deficient"/>
    <s v="Yes"/>
    <s v="Yes"/>
    <x v="0"/>
    <x v="542"/>
    <s v="Paid"/>
    <n v="55"/>
    <x v="0"/>
  </r>
  <r>
    <s v="DBR0953"/>
    <x v="1"/>
    <x v="3"/>
    <d v="2025-07-11T00:00:00"/>
    <d v="2025-08-11T00:00:00"/>
    <s v="No"/>
    <s v="Deficient"/>
    <s v="Yes"/>
    <s v="Yes"/>
    <x v="0"/>
    <x v="543"/>
    <s v="Paid"/>
    <n v="51"/>
    <x v="3"/>
  </r>
  <r>
    <s v="DBR0954"/>
    <x v="1"/>
    <x v="1"/>
    <d v="2025-12-23T00:00:00"/>
    <d v="2026-01-19T00:00:00"/>
    <s v="Yes"/>
    <s v="Deficient"/>
    <s v="Yes"/>
    <s v="Yes"/>
    <x v="0"/>
    <x v="544"/>
    <s v="Paid"/>
    <n v="37"/>
    <x v="3"/>
  </r>
  <r>
    <s v="DBR0955"/>
    <x v="3"/>
    <x v="3"/>
    <d v="2025-02-24T00:00:00"/>
    <d v="2025-03-02T00:00:00"/>
    <s v="Yes"/>
    <s v="Deficient"/>
    <s v="Yes"/>
    <s v="No"/>
    <x v="1"/>
    <x v="2"/>
    <s v="Not Applicable"/>
    <n v="23"/>
    <x v="1"/>
  </r>
  <r>
    <s v="DBR0956"/>
    <x v="4"/>
    <x v="0"/>
    <d v="2025-10-18T00:00:00"/>
    <d v="2025-12-01T00:00:00"/>
    <s v="No"/>
    <s v="Rejected"/>
    <s v="No"/>
    <s v="No"/>
    <x v="1"/>
    <x v="2"/>
    <s v="Not Applicable"/>
    <n v="64"/>
    <x v="2"/>
  </r>
  <r>
    <s v="DBR0957"/>
    <x v="3"/>
    <x v="4"/>
    <d v="2025-07-02T00:00:00"/>
    <d v="2025-08-04T00:00:00"/>
    <s v="No"/>
    <s v="Deficient"/>
    <s v="Yes"/>
    <s v="Yes"/>
    <x v="0"/>
    <x v="545"/>
    <s v="Paid"/>
    <n v="73"/>
    <x v="3"/>
  </r>
  <r>
    <s v="DBR0958"/>
    <x v="3"/>
    <x v="4"/>
    <d v="2025-02-23T00:00:00"/>
    <d v="2025-03-23T00:00:00"/>
    <s v="Yes"/>
    <s v="Deficient"/>
    <s v="Yes"/>
    <s v="No"/>
    <x v="1"/>
    <x v="2"/>
    <s v="Not Applicable"/>
    <n v="33"/>
    <x v="0"/>
  </r>
  <r>
    <s v="DBR0959"/>
    <x v="3"/>
    <x v="4"/>
    <d v="2025-12-26T00:00:00"/>
    <d v="2026-01-09T00:00:00"/>
    <s v="Yes"/>
    <s v="Rejected"/>
    <s v="No"/>
    <s v="No"/>
    <x v="1"/>
    <x v="2"/>
    <s v="Not Applicable"/>
    <n v="53"/>
    <x v="2"/>
  </r>
  <r>
    <s v="DBR0960"/>
    <x v="4"/>
    <x v="3"/>
    <d v="2025-11-05T00:00:00"/>
    <d v="2025-12-16T00:00:00"/>
    <s v="No"/>
    <s v="Rejected"/>
    <s v="No"/>
    <s v="No"/>
    <x v="1"/>
    <x v="2"/>
    <s v="Not Applicable"/>
    <n v="54"/>
    <x v="2"/>
  </r>
  <r>
    <s v="DBR0961"/>
    <x v="0"/>
    <x v="1"/>
    <d v="2025-10-05T00:00:00"/>
    <d v="2025-11-13T00:00:00"/>
    <s v="No"/>
    <s v="Deficient"/>
    <s v="Yes"/>
    <s v="Yes"/>
    <x v="0"/>
    <x v="546"/>
    <s v="Paid"/>
    <n v="68"/>
    <x v="0"/>
  </r>
  <r>
    <s v="DBR0962"/>
    <x v="1"/>
    <x v="0"/>
    <d v="2025-12-19T00:00:00"/>
    <d v="2026-01-12T00:00:00"/>
    <s v="Yes"/>
    <s v="Valid"/>
    <s v="No"/>
    <s v="No"/>
    <x v="0"/>
    <x v="547"/>
    <s v="Pending"/>
    <n v="36"/>
    <x v="1"/>
  </r>
  <r>
    <s v="DBR0963"/>
    <x v="5"/>
    <x v="1"/>
    <d v="2025-08-16T00:00:00"/>
    <d v="2025-08-20T00:00:00"/>
    <s v="Yes"/>
    <s v="Deficient"/>
    <s v="Yes"/>
    <s v="Yes"/>
    <x v="0"/>
    <x v="548"/>
    <s v="Paid"/>
    <n v="19"/>
    <x v="1"/>
  </r>
  <r>
    <s v="DBR0964"/>
    <x v="4"/>
    <x v="0"/>
    <d v="2025-02-11T00:00:00"/>
    <d v="2025-02-12T00:00:00"/>
    <s v="Yes"/>
    <s v="Valid"/>
    <s v="No"/>
    <s v="No"/>
    <x v="0"/>
    <x v="549"/>
    <s v="Paid"/>
    <n v="8"/>
    <x v="1"/>
  </r>
  <r>
    <s v="DBR0965"/>
    <x v="2"/>
    <x v="3"/>
    <d v="2025-12-11T00:00:00"/>
    <d v="2026-01-17T00:00:00"/>
    <s v="No"/>
    <s v="Valid"/>
    <s v="No"/>
    <s v="No"/>
    <x v="0"/>
    <x v="550"/>
    <s v="Paid"/>
    <n v="42"/>
    <x v="2"/>
  </r>
  <r>
    <s v="DBR0966"/>
    <x v="4"/>
    <x v="1"/>
    <d v="2025-10-21T00:00:00"/>
    <d v="2025-11-10T00:00:00"/>
    <s v="Yes"/>
    <s v="Valid"/>
    <s v="No"/>
    <s v="No"/>
    <x v="0"/>
    <x v="551"/>
    <s v="Paid"/>
    <n v="34"/>
    <x v="0"/>
  </r>
  <r>
    <s v="DBR0967"/>
    <x v="5"/>
    <x v="0"/>
    <d v="2025-04-16T00:00:00"/>
    <d v="2025-05-03T00:00:00"/>
    <s v="Yes"/>
    <s v="Valid"/>
    <s v="No"/>
    <s v="No"/>
    <x v="0"/>
    <x v="552"/>
    <s v="Pending"/>
    <n v="42"/>
    <x v="2"/>
  </r>
  <r>
    <s v="DBR0968"/>
    <x v="2"/>
    <x v="0"/>
    <d v="2025-11-11T00:00:00"/>
    <d v="2025-11-13T00:00:00"/>
    <s v="Yes"/>
    <s v="Valid"/>
    <s v="No"/>
    <s v="No"/>
    <x v="0"/>
    <x v="553"/>
    <s v="Paid"/>
    <n v="40"/>
    <x v="3"/>
  </r>
  <r>
    <s v="DBR0969"/>
    <x v="4"/>
    <x v="1"/>
    <d v="2025-10-04T00:00:00"/>
    <d v="2025-10-17T00:00:00"/>
    <s v="Yes"/>
    <s v="Rejected"/>
    <s v="No"/>
    <s v="No"/>
    <x v="1"/>
    <x v="2"/>
    <s v="Not Applicable"/>
    <n v="26"/>
    <x v="2"/>
  </r>
  <r>
    <s v="DBR0970"/>
    <x v="4"/>
    <x v="3"/>
    <d v="2025-12-07T00:00:00"/>
    <d v="2026-01-10T00:00:00"/>
    <s v="No"/>
    <s v="Rejected"/>
    <s v="No"/>
    <s v="No"/>
    <x v="1"/>
    <x v="2"/>
    <s v="Not Applicable"/>
    <n v="39"/>
    <x v="0"/>
  </r>
  <r>
    <s v="DBR0971"/>
    <x v="3"/>
    <x v="2"/>
    <d v="2025-09-27T00:00:00"/>
    <d v="2025-10-11T00:00:00"/>
    <s v="Yes"/>
    <s v="Rejected"/>
    <s v="No"/>
    <s v="No"/>
    <x v="1"/>
    <x v="2"/>
    <s v="Not Applicable"/>
    <n v="44"/>
    <x v="0"/>
  </r>
  <r>
    <s v="DBR0972"/>
    <x v="5"/>
    <x v="0"/>
    <d v="2025-06-18T00:00:00"/>
    <d v="2025-07-29T00:00:00"/>
    <s v="No"/>
    <s v="Deficient"/>
    <s v="Yes"/>
    <s v="No"/>
    <x v="1"/>
    <x v="2"/>
    <s v="Not Applicable"/>
    <n v="52"/>
    <x v="1"/>
  </r>
  <r>
    <s v="DBR0973"/>
    <x v="1"/>
    <x v="4"/>
    <d v="2025-06-02T00:00:00"/>
    <d v="2025-07-02T00:00:00"/>
    <s v="Yes"/>
    <s v="Rejected"/>
    <s v="No"/>
    <s v="No"/>
    <x v="1"/>
    <x v="2"/>
    <s v="Not Applicable"/>
    <n v="58"/>
    <x v="3"/>
  </r>
  <r>
    <s v="DBR0974"/>
    <x v="0"/>
    <x v="0"/>
    <d v="2025-11-12T00:00:00"/>
    <d v="2025-11-16T00:00:00"/>
    <s v="Yes"/>
    <s v="Rejected"/>
    <s v="No"/>
    <s v="No"/>
    <x v="1"/>
    <x v="2"/>
    <s v="Not Applicable"/>
    <n v="31"/>
    <x v="0"/>
  </r>
  <r>
    <s v="DBR0975"/>
    <x v="3"/>
    <x v="2"/>
    <d v="2025-12-11T00:00:00"/>
    <d v="2025-12-26T00:00:00"/>
    <s v="Yes"/>
    <s v="Rejected"/>
    <s v="No"/>
    <s v="No"/>
    <x v="1"/>
    <x v="2"/>
    <s v="Not Applicable"/>
    <n v="31"/>
    <x v="3"/>
  </r>
  <r>
    <s v="DBR0976"/>
    <x v="3"/>
    <x v="0"/>
    <d v="2025-04-03T00:00:00"/>
    <d v="2025-05-02T00:00:00"/>
    <s v="Yes"/>
    <s v="Valid"/>
    <s v="No"/>
    <s v="No"/>
    <x v="0"/>
    <x v="554"/>
    <s v="Paid"/>
    <n v="59"/>
    <x v="3"/>
  </r>
  <r>
    <s v="DBR0977"/>
    <x v="0"/>
    <x v="3"/>
    <d v="2025-06-20T00:00:00"/>
    <d v="2025-06-27T00:00:00"/>
    <s v="Yes"/>
    <s v="Rejected"/>
    <s v="No"/>
    <s v="No"/>
    <x v="1"/>
    <x v="2"/>
    <s v="Not Applicable"/>
    <n v="26"/>
    <x v="3"/>
  </r>
  <r>
    <s v="DBR0978"/>
    <x v="2"/>
    <x v="0"/>
    <d v="2025-05-12T00:00:00"/>
    <d v="2025-06-10T00:00:00"/>
    <s v="Yes"/>
    <s v="Deficient"/>
    <s v="Yes"/>
    <s v="Yes"/>
    <x v="0"/>
    <x v="555"/>
    <s v="Pending"/>
    <n v="61"/>
    <x v="0"/>
  </r>
  <r>
    <s v="DBR0979"/>
    <x v="3"/>
    <x v="1"/>
    <d v="2025-12-09T00:00:00"/>
    <d v="2025-12-29T00:00:00"/>
    <s v="Yes"/>
    <s v="Valid"/>
    <s v="No"/>
    <s v="No"/>
    <x v="0"/>
    <x v="556"/>
    <s v="Paid"/>
    <n v="36"/>
    <x v="3"/>
  </r>
  <r>
    <s v="DBR0980"/>
    <x v="3"/>
    <x v="3"/>
    <d v="2025-10-07T00:00:00"/>
    <d v="2025-11-07T00:00:00"/>
    <s v="No"/>
    <s v="Deficient"/>
    <s v="Yes"/>
    <s v="No"/>
    <x v="1"/>
    <x v="2"/>
    <s v="Not Applicable"/>
    <n v="51"/>
    <x v="3"/>
  </r>
  <r>
    <s v="DBR0981"/>
    <x v="0"/>
    <x v="0"/>
    <d v="2025-01-06T00:00:00"/>
    <d v="2025-02-17T00:00:00"/>
    <s v="No"/>
    <s v="Valid"/>
    <s v="No"/>
    <s v="No"/>
    <x v="0"/>
    <x v="557"/>
    <s v="Paid"/>
    <n v="53"/>
    <x v="2"/>
  </r>
  <r>
    <s v="DBR0982"/>
    <x v="1"/>
    <x v="1"/>
    <d v="2025-04-23T00:00:00"/>
    <d v="2025-05-05T00:00:00"/>
    <s v="Yes"/>
    <s v="Rejected"/>
    <s v="No"/>
    <s v="No"/>
    <x v="1"/>
    <x v="2"/>
    <s v="Not Applicable"/>
    <n v="41"/>
    <x v="3"/>
  </r>
  <r>
    <s v="DBR0983"/>
    <x v="0"/>
    <x v="4"/>
    <d v="2025-02-11T00:00:00"/>
    <d v="2025-03-12T00:00:00"/>
    <s v="Yes"/>
    <s v="Valid"/>
    <s v="No"/>
    <s v="No"/>
    <x v="0"/>
    <x v="558"/>
    <s v="Paid"/>
    <n v="50"/>
    <x v="1"/>
  </r>
  <r>
    <s v="DBR0984"/>
    <x v="5"/>
    <x v="1"/>
    <d v="2025-11-18T00:00:00"/>
    <d v="2025-12-13T00:00:00"/>
    <s v="Yes"/>
    <s v="Deficient"/>
    <s v="Yes"/>
    <s v="Yes"/>
    <x v="0"/>
    <x v="559"/>
    <s v="Paid"/>
    <n v="50"/>
    <x v="2"/>
  </r>
  <r>
    <s v="DBR0985"/>
    <x v="1"/>
    <x v="1"/>
    <d v="2025-08-27T00:00:00"/>
    <d v="2025-09-01T00:00:00"/>
    <s v="Yes"/>
    <s v="Rejected"/>
    <s v="No"/>
    <s v="No"/>
    <x v="1"/>
    <x v="2"/>
    <s v="Not Applicable"/>
    <n v="38"/>
    <x v="0"/>
  </r>
  <r>
    <s v="DBR0986"/>
    <x v="3"/>
    <x v="4"/>
    <d v="2025-02-15T00:00:00"/>
    <d v="2025-02-24T00:00:00"/>
    <s v="Yes"/>
    <s v="Rejected"/>
    <s v="No"/>
    <s v="No"/>
    <x v="1"/>
    <x v="2"/>
    <s v="Not Applicable"/>
    <n v="19"/>
    <x v="0"/>
  </r>
  <r>
    <s v="DBR0987"/>
    <x v="1"/>
    <x v="4"/>
    <d v="2025-09-10T00:00:00"/>
    <d v="2025-10-08T00:00:00"/>
    <s v="Yes"/>
    <s v="Deficient"/>
    <s v="Yes"/>
    <s v="Yes"/>
    <x v="0"/>
    <x v="560"/>
    <s v="Paid"/>
    <n v="38"/>
    <x v="3"/>
  </r>
  <r>
    <s v="DBR0988"/>
    <x v="4"/>
    <x v="1"/>
    <d v="2025-07-14T00:00:00"/>
    <d v="2025-08-24T00:00:00"/>
    <s v="No"/>
    <s v="Valid"/>
    <s v="No"/>
    <s v="No"/>
    <x v="0"/>
    <x v="561"/>
    <s v="Paid"/>
    <n v="51"/>
    <x v="0"/>
  </r>
  <r>
    <s v="DBR0989"/>
    <x v="3"/>
    <x v="0"/>
    <d v="2025-01-27T00:00:00"/>
    <d v="2025-03-13T00:00:00"/>
    <s v="No"/>
    <s v="Rejected"/>
    <s v="No"/>
    <s v="No"/>
    <x v="1"/>
    <x v="2"/>
    <s v="Not Applicable"/>
    <n v="64"/>
    <x v="0"/>
  </r>
  <r>
    <s v="DBR0990"/>
    <x v="5"/>
    <x v="4"/>
    <d v="2025-05-12T00:00:00"/>
    <d v="2025-06-11T00:00:00"/>
    <s v="Yes"/>
    <s v="Deficient"/>
    <s v="Yes"/>
    <s v="Yes"/>
    <x v="0"/>
    <x v="562"/>
    <s v="Paid"/>
    <n v="42"/>
    <x v="3"/>
  </r>
  <r>
    <s v="DBR0991"/>
    <x v="5"/>
    <x v="0"/>
    <d v="2025-12-18T00:00:00"/>
    <d v="2026-01-08T00:00:00"/>
    <s v="Yes"/>
    <s v="Valid"/>
    <s v="No"/>
    <s v="No"/>
    <x v="0"/>
    <x v="563"/>
    <s v="Paid"/>
    <n v="33"/>
    <x v="1"/>
  </r>
  <r>
    <s v="DBR0992"/>
    <x v="3"/>
    <x v="2"/>
    <d v="2025-10-12T00:00:00"/>
    <d v="2025-10-31T00:00:00"/>
    <s v="Yes"/>
    <s v="Rejected"/>
    <s v="No"/>
    <s v="No"/>
    <x v="1"/>
    <x v="2"/>
    <s v="Not Applicable"/>
    <n v="41"/>
    <x v="0"/>
  </r>
  <r>
    <s v="DBR0993"/>
    <x v="4"/>
    <x v="2"/>
    <d v="2025-08-03T00:00:00"/>
    <d v="2025-09-14T00:00:00"/>
    <s v="No"/>
    <s v="Deficient"/>
    <s v="Yes"/>
    <s v="Yes"/>
    <x v="0"/>
    <x v="564"/>
    <s v="Paid"/>
    <n v="61"/>
    <x v="1"/>
  </r>
  <r>
    <s v="DBR0994"/>
    <x v="5"/>
    <x v="3"/>
    <d v="2025-04-15T00:00:00"/>
    <d v="2025-05-13T00:00:00"/>
    <s v="Yes"/>
    <s v="Rejected"/>
    <s v="No"/>
    <s v="No"/>
    <x v="1"/>
    <x v="2"/>
    <s v="Not Applicable"/>
    <n v="44"/>
    <x v="3"/>
  </r>
  <r>
    <s v="DBR0995"/>
    <x v="1"/>
    <x v="2"/>
    <d v="2025-02-13T00:00:00"/>
    <d v="2025-02-18T00:00:00"/>
    <s v="Yes"/>
    <s v="Deficient"/>
    <s v="Yes"/>
    <s v="Yes"/>
    <x v="0"/>
    <x v="565"/>
    <s v="Paid"/>
    <n v="11"/>
    <x v="3"/>
  </r>
  <r>
    <s v="DBR0996"/>
    <x v="5"/>
    <x v="3"/>
    <d v="2025-12-17T00:00:00"/>
    <d v="2025-12-22T00:00:00"/>
    <s v="Yes"/>
    <s v="Rejected"/>
    <s v="No"/>
    <s v="No"/>
    <x v="1"/>
    <x v="2"/>
    <s v="Not Applicable"/>
    <n v="37"/>
    <x v="0"/>
  </r>
  <r>
    <s v="DBR0997"/>
    <x v="4"/>
    <x v="1"/>
    <d v="2025-01-21T00:00:00"/>
    <d v="2025-02-05T00:00:00"/>
    <s v="Yes"/>
    <s v="Rejected"/>
    <s v="No"/>
    <s v="No"/>
    <x v="1"/>
    <x v="2"/>
    <s v="Not Applicable"/>
    <n v="38"/>
    <x v="0"/>
  </r>
  <r>
    <s v="DBR0998"/>
    <x v="2"/>
    <x v="1"/>
    <d v="2025-07-08T00:00:00"/>
    <d v="2025-07-23T00:00:00"/>
    <s v="Yes"/>
    <s v="Valid"/>
    <s v="No"/>
    <s v="No"/>
    <x v="0"/>
    <x v="566"/>
    <s v="Pending"/>
    <n v="54"/>
    <x v="3"/>
  </r>
  <r>
    <s v="DBR0999"/>
    <x v="0"/>
    <x v="1"/>
    <d v="2025-10-13T00:00:00"/>
    <d v="2025-11-07T00:00:00"/>
    <s v="Yes"/>
    <s v="Rejected"/>
    <s v="No"/>
    <s v="No"/>
    <x v="1"/>
    <x v="2"/>
    <s v="Not Applicable"/>
    <n v="58"/>
    <x v="1"/>
  </r>
  <r>
    <s v="DBR1000"/>
    <x v="4"/>
    <x v="1"/>
    <d v="2025-12-24T00:00:00"/>
    <d v="2026-02-06T00:00:00"/>
    <s v="No"/>
    <s v="Valid"/>
    <s v="No"/>
    <s v="No"/>
    <x v="0"/>
    <x v="567"/>
    <s v="Paid"/>
    <n v="6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F4E18-EE4F-4E57-9B77-54021564DC3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Industry">
  <location ref="A3:D9" firstHeaderRow="0" firstDataRow="1" firstDataCol="1"/>
  <pivotFields count="14">
    <pivotField dataField="1" showAll="0"/>
    <pivotField showAll="0"/>
    <pivotField axis="axisRow" showAll="0" sortType="descending">
      <items count="6">
        <item x="3"/>
        <item x="1"/>
        <item x="2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numFmtId="14" showAll="0"/>
    <pivotField numFmtId="14" showAll="0"/>
    <pivotField showAll="0"/>
    <pivotField showAll="0"/>
    <pivotField showAll="0"/>
    <pivotField showAll="0"/>
    <pivotField showAll="0"/>
    <pivotField dataField="1" showAll="0" avgSubtotal="1">
      <items count="569">
        <item x="2"/>
        <item x="532"/>
        <item x="32"/>
        <item x="505"/>
        <item x="160"/>
        <item x="440"/>
        <item x="387"/>
        <item x="402"/>
        <item x="88"/>
        <item x="444"/>
        <item x="249"/>
        <item x="84"/>
        <item x="161"/>
        <item x="134"/>
        <item x="123"/>
        <item x="516"/>
        <item x="59"/>
        <item x="501"/>
        <item x="388"/>
        <item x="345"/>
        <item x="453"/>
        <item x="289"/>
        <item x="141"/>
        <item x="457"/>
        <item x="277"/>
        <item x="543"/>
        <item x="96"/>
        <item x="288"/>
        <item x="489"/>
        <item x="520"/>
        <item x="265"/>
        <item x="220"/>
        <item x="145"/>
        <item x="443"/>
        <item x="425"/>
        <item x="359"/>
        <item x="365"/>
        <item x="87"/>
        <item x="527"/>
        <item x="541"/>
        <item x="238"/>
        <item x="154"/>
        <item x="73"/>
        <item x="118"/>
        <item x="14"/>
        <item x="519"/>
        <item x="371"/>
        <item x="427"/>
        <item x="369"/>
        <item x="250"/>
        <item x="551"/>
        <item x="56"/>
        <item x="429"/>
        <item x="553"/>
        <item x="351"/>
        <item x="432"/>
        <item x="241"/>
        <item x="403"/>
        <item x="115"/>
        <item x="68"/>
        <item x="228"/>
        <item x="438"/>
        <item x="107"/>
        <item x="452"/>
        <item x="377"/>
        <item x="554"/>
        <item x="524"/>
        <item x="79"/>
        <item x="563"/>
        <item x="233"/>
        <item x="475"/>
        <item x="60"/>
        <item x="257"/>
        <item x="293"/>
        <item x="185"/>
        <item x="393"/>
        <item x="83"/>
        <item x="276"/>
        <item x="338"/>
        <item x="431"/>
        <item x="184"/>
        <item x="204"/>
        <item x="22"/>
        <item x="213"/>
        <item x="195"/>
        <item x="17"/>
        <item x="253"/>
        <item x="348"/>
        <item x="284"/>
        <item x="465"/>
        <item x="55"/>
        <item x="140"/>
        <item x="224"/>
        <item x="44"/>
        <item x="567"/>
        <item x="211"/>
        <item x="264"/>
        <item x="157"/>
        <item x="165"/>
        <item x="151"/>
        <item x="240"/>
        <item x="208"/>
        <item x="535"/>
        <item x="108"/>
        <item x="398"/>
        <item x="458"/>
        <item x="180"/>
        <item x="26"/>
        <item x="549"/>
        <item x="483"/>
        <item x="508"/>
        <item x="150"/>
        <item x="564"/>
        <item x="243"/>
        <item x="75"/>
        <item x="400"/>
        <item x="205"/>
        <item x="534"/>
        <item x="278"/>
        <item x="449"/>
        <item x="488"/>
        <item x="333"/>
        <item x="504"/>
        <item x="538"/>
        <item x="191"/>
        <item x="305"/>
        <item x="37"/>
        <item x="461"/>
        <item x="52"/>
        <item x="546"/>
        <item x="62"/>
        <item x="198"/>
        <item x="397"/>
        <item x="486"/>
        <item x="99"/>
        <item x="436"/>
        <item x="325"/>
        <item x="502"/>
        <item x="334"/>
        <item x="352"/>
        <item x="0"/>
        <item x="11"/>
        <item x="117"/>
        <item x="366"/>
        <item x="103"/>
        <item x="226"/>
        <item x="202"/>
        <item x="311"/>
        <item x="156"/>
        <item x="232"/>
        <item x="142"/>
        <item x="411"/>
        <item x="300"/>
        <item x="323"/>
        <item x="221"/>
        <item x="559"/>
        <item x="493"/>
        <item x="104"/>
        <item x="550"/>
        <item x="261"/>
        <item x="183"/>
        <item x="93"/>
        <item x="175"/>
        <item x="209"/>
        <item x="130"/>
        <item x="72"/>
        <item x="167"/>
        <item x="38"/>
        <item x="419"/>
        <item x="350"/>
        <item x="98"/>
        <item x="302"/>
        <item x="478"/>
        <item x="482"/>
        <item x="557"/>
        <item x="404"/>
        <item x="216"/>
        <item x="381"/>
        <item x="531"/>
        <item x="181"/>
        <item x="423"/>
        <item x="90"/>
        <item x="357"/>
        <item x="91"/>
        <item x="251"/>
        <item x="45"/>
        <item x="222"/>
        <item x="418"/>
        <item x="4"/>
        <item x="190"/>
        <item x="259"/>
        <item x="536"/>
        <item x="358"/>
        <item x="316"/>
        <item x="307"/>
        <item x="362"/>
        <item x="13"/>
        <item x="97"/>
        <item x="71"/>
        <item x="173"/>
        <item x="565"/>
        <item x="390"/>
        <item x="421"/>
        <item x="136"/>
        <item x="106"/>
        <item x="274"/>
        <item x="64"/>
        <item x="354"/>
        <item x="268"/>
        <item x="247"/>
        <item x="376"/>
        <item x="497"/>
        <item x="178"/>
        <item x="380"/>
        <item x="172"/>
        <item x="426"/>
        <item x="303"/>
        <item x="332"/>
        <item x="533"/>
        <item x="192"/>
        <item x="85"/>
        <item x="470"/>
        <item x="521"/>
        <item x="428"/>
        <item x="282"/>
        <item x="9"/>
        <item x="399"/>
        <item x="469"/>
        <item x="244"/>
        <item x="286"/>
        <item x="164"/>
        <item x="548"/>
        <item x="39"/>
        <item x="477"/>
        <item x="512"/>
        <item x="464"/>
        <item x="197"/>
        <item x="128"/>
        <item x="481"/>
        <item x="372"/>
        <item x="522"/>
        <item x="1"/>
        <item x="382"/>
        <item x="20"/>
        <item x="229"/>
        <item x="384"/>
        <item x="258"/>
        <item x="415"/>
        <item x="186"/>
        <item x="518"/>
        <item x="201"/>
        <item x="133"/>
        <item x="313"/>
        <item x="529"/>
        <item x="187"/>
        <item x="499"/>
        <item x="340"/>
        <item x="509"/>
        <item x="473"/>
        <item x="81"/>
        <item x="21"/>
        <item x="31"/>
        <item x="127"/>
        <item x="235"/>
        <item x="320"/>
        <item x="494"/>
        <item x="396"/>
        <item x="510"/>
        <item x="560"/>
        <item x="542"/>
        <item x="252"/>
        <item x="511"/>
        <item x="517"/>
        <item x="148"/>
        <item x="53"/>
        <item x="139"/>
        <item x="245"/>
        <item x="146"/>
        <item x="105"/>
        <item x="299"/>
        <item x="370"/>
        <item x="41"/>
        <item x="492"/>
        <item x="113"/>
        <item x="361"/>
        <item x="54"/>
        <item x="287"/>
        <item x="94"/>
        <item x="279"/>
        <item x="255"/>
        <item x="410"/>
        <item x="435"/>
        <item x="42"/>
        <item x="424"/>
        <item x="254"/>
        <item x="95"/>
        <item x="407"/>
        <item x="30"/>
        <item x="144"/>
        <item x="138"/>
        <item x="34"/>
        <item x="304"/>
        <item x="248"/>
        <item x="395"/>
        <item x="80"/>
        <item x="450"/>
        <item x="6"/>
        <item x="33"/>
        <item x="225"/>
        <item x="29"/>
        <item x="49"/>
        <item x="326"/>
        <item x="280"/>
        <item x="270"/>
        <item x="460"/>
        <item x="57"/>
        <item x="476"/>
        <item x="266"/>
        <item x="451"/>
        <item x="455"/>
        <item x="196"/>
        <item x="466"/>
        <item x="109"/>
        <item x="448"/>
        <item x="480"/>
        <item x="523"/>
        <item x="490"/>
        <item x="379"/>
        <item x="227"/>
        <item x="15"/>
        <item x="386"/>
        <item x="500"/>
        <item x="86"/>
        <item x="100"/>
        <item x="188"/>
        <item x="317"/>
        <item x="239"/>
        <item x="467"/>
        <item x="27"/>
        <item x="315"/>
        <item x="468"/>
        <item x="260"/>
        <item x="472"/>
        <item x="70"/>
        <item x="337"/>
        <item x="491"/>
        <item x="434"/>
        <item x="485"/>
        <item x="294"/>
        <item x="417"/>
        <item x="367"/>
        <item x="10"/>
        <item x="349"/>
        <item x="544"/>
        <item x="155"/>
        <item x="344"/>
        <item x="392"/>
        <item x="484"/>
        <item x="162"/>
        <item x="194"/>
        <item x="43"/>
        <item x="143"/>
        <item x="179"/>
        <item x="219"/>
        <item x="111"/>
        <item x="28"/>
        <item x="121"/>
        <item x="454"/>
        <item x="40"/>
        <item x="101"/>
        <item x="283"/>
        <item x="346"/>
        <item x="412"/>
        <item x="16"/>
        <item x="234"/>
        <item x="158"/>
        <item x="526"/>
        <item x="290"/>
        <item x="217"/>
        <item x="353"/>
        <item x="389"/>
        <item x="214"/>
        <item x="3"/>
        <item x="433"/>
        <item x="182"/>
        <item x="331"/>
        <item x="308"/>
        <item x="210"/>
        <item x="406"/>
        <item x="441"/>
        <item x="77"/>
        <item x="236"/>
        <item x="343"/>
        <item x="394"/>
        <item x="273"/>
        <item x="124"/>
        <item x="456"/>
        <item x="530"/>
        <item x="420"/>
        <item x="498"/>
        <item x="89"/>
        <item x="193"/>
        <item x="50"/>
        <item x="310"/>
        <item x="63"/>
        <item x="275"/>
        <item x="25"/>
        <item x="401"/>
        <item x="364"/>
        <item x="309"/>
        <item x="319"/>
        <item x="237"/>
        <item x="537"/>
        <item x="199"/>
        <item x="408"/>
        <item x="347"/>
        <item x="373"/>
        <item x="556"/>
        <item x="405"/>
        <item x="514"/>
        <item x="539"/>
        <item x="330"/>
        <item x="82"/>
        <item x="298"/>
        <item x="135"/>
        <item x="463"/>
        <item x="170"/>
        <item x="112"/>
        <item x="137"/>
        <item x="495"/>
        <item x="74"/>
        <item x="342"/>
        <item x="116"/>
        <item x="246"/>
        <item x="58"/>
        <item x="552"/>
        <item x="200"/>
        <item x="462"/>
        <item x="271"/>
        <item x="267"/>
        <item x="322"/>
        <item x="445"/>
        <item x="356"/>
        <item x="47"/>
        <item x="545"/>
        <item x="92"/>
        <item x="66"/>
        <item x="437"/>
        <item x="36"/>
        <item x="540"/>
        <item x="263"/>
        <item x="110"/>
        <item x="506"/>
        <item x="78"/>
        <item x="102"/>
        <item x="562"/>
        <item x="285"/>
        <item x="223"/>
        <item x="35"/>
        <item x="189"/>
        <item x="174"/>
        <item x="168"/>
        <item x="297"/>
        <item x="566"/>
        <item x="23"/>
        <item x="459"/>
        <item x="335"/>
        <item x="503"/>
        <item x="363"/>
        <item x="153"/>
        <item x="51"/>
        <item x="69"/>
        <item x="296"/>
        <item x="318"/>
        <item x="61"/>
        <item x="131"/>
        <item x="5"/>
        <item x="149"/>
        <item x="561"/>
        <item x="547"/>
        <item x="65"/>
        <item x="385"/>
        <item x="416"/>
        <item x="8"/>
        <item x="321"/>
        <item x="409"/>
        <item x="206"/>
        <item x="177"/>
        <item x="171"/>
        <item x="515"/>
        <item x="159"/>
        <item x="48"/>
        <item x="474"/>
        <item x="378"/>
        <item x="328"/>
        <item x="18"/>
        <item x="446"/>
        <item x="306"/>
        <item x="558"/>
        <item x="203"/>
        <item x="301"/>
        <item x="125"/>
        <item x="339"/>
        <item x="442"/>
        <item x="430"/>
        <item x="360"/>
        <item x="368"/>
        <item x="341"/>
        <item x="324"/>
        <item x="414"/>
        <item x="152"/>
        <item x="212"/>
        <item x="76"/>
        <item x="242"/>
        <item x="281"/>
        <item x="215"/>
        <item x="12"/>
        <item x="375"/>
        <item x="555"/>
        <item x="513"/>
        <item x="120"/>
        <item x="272"/>
        <item x="496"/>
        <item x="67"/>
        <item x="46"/>
        <item x="129"/>
        <item x="163"/>
        <item x="336"/>
        <item x="327"/>
        <item x="295"/>
        <item x="291"/>
        <item x="256"/>
        <item x="119"/>
        <item x="314"/>
        <item x="507"/>
        <item x="24"/>
        <item x="329"/>
        <item x="292"/>
        <item x="525"/>
        <item x="230"/>
        <item x="528"/>
        <item x="413"/>
        <item x="126"/>
        <item x="355"/>
        <item x="218"/>
        <item x="312"/>
        <item x="471"/>
        <item x="422"/>
        <item x="383"/>
        <item x="231"/>
        <item x="207"/>
        <item x="479"/>
        <item x="439"/>
        <item x="391"/>
        <item x="262"/>
        <item x="447"/>
        <item x="487"/>
        <item x="269"/>
        <item x="169"/>
        <item x="132"/>
        <item x="7"/>
        <item x="122"/>
        <item x="166"/>
        <item x="176"/>
        <item x="19"/>
        <item x="114"/>
        <item x="147"/>
        <item x="374"/>
        <item t="avg"/>
      </items>
    </pivotField>
    <pivotField showAll="0"/>
    <pivotField showAll="0"/>
    <pivotField showAll="0"/>
  </pivotFields>
  <rowFields count="1">
    <field x="2"/>
  </rowFields>
  <rowItems count="6">
    <i>
      <x v="3"/>
    </i>
    <i>
      <x/>
    </i>
    <i>
      <x v="4"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Claims" fld="0" subtotal="count" baseField="2" baseItem="0"/>
    <dataField name="Total Settlement" fld="10" baseField="2" baseItem="3" numFmtId="167"/>
    <dataField name="Average Settlement" fld="10" subtotal="average" baseField="2" baseItem="3" numFmtId="165"/>
  </dataFields>
  <chartFormats count="3"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25E0F6-DC3B-4536-9F95-42C15A52AB7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Breach Type">
  <location ref="A3:C10" firstHeaderRow="0" firstDataRow="1" firstDataCol="1"/>
  <pivotFields count="14">
    <pivotField dataField="1" showAll="0"/>
    <pivotField axis="axisRow" showAll="0" sortType="descending">
      <items count="7">
        <item x="5"/>
        <item x="0"/>
        <item x="2"/>
        <item x="3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7">
    <i>
      <x v="1"/>
    </i>
    <i>
      <x/>
    </i>
    <i>
      <x v="3"/>
    </i>
    <i>
      <x v="2"/>
    </i>
    <i>
      <x v="5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Claims" fld="0" subtotal="count" baseField="1" baseItem="0"/>
    <dataField name="Total Settlement" fld="10" baseField="1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E60956-FDA4-4684-877C-BD0B92C2D5A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Final Status">
  <location ref="A3:B6" firstHeaderRow="1" firstDataRow="1" firstDataCol="1"/>
  <pivotFields count="14">
    <pivotField dataField="1"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Total Claims" fld="0" subtotal="count" baseField="9" baseItem="0"/>
  </dataFields>
  <chartFormats count="3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22828C-6F38-403A-953E-982C619872B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Region">
  <location ref="A3:C8" firstHeaderRow="0" firstDataRow="1" firstDataCol="1"/>
  <pivotFields count="14">
    <pivotField dataField="1"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 sortType="descending">
      <items count="5">
        <item x="0"/>
        <item x="3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</pivotFields>
  <rowFields count="1">
    <field x="13"/>
  </rowFields>
  <rowItems count="5">
    <i>
      <x v="3"/>
    </i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Claims" fld="0" subtotal="count" baseField="13" baseItem="0"/>
    <dataField name="Total Settlement" fld="10" baseField="13" baseItem="0" numFmtId="168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60BF71-BC0B-4412-ADC3-C0B4C0A0FBB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Industry">
  <location ref="A3:B9" firstHeaderRow="1" firstDataRow="1" firstDataCol="1"/>
  <pivotFields count="14">
    <pivotField showAll="0"/>
    <pivotField showAll="0"/>
    <pivotField axis="axisRow" showAll="0" sortType="descending">
      <items count="6">
        <item x="3"/>
        <item x="1"/>
        <item x="2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6">
    <i>
      <x v="1"/>
    </i>
    <i>
      <x v="3"/>
    </i>
    <i>
      <x/>
    </i>
    <i>
      <x v="4"/>
    </i>
    <i>
      <x v="2"/>
    </i>
    <i t="grand">
      <x/>
    </i>
  </rowItems>
  <colItems count="1">
    <i/>
  </colItems>
  <dataFields count="1">
    <dataField name="Average Processing Days" fld="12" subtotal="average" baseField="2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626A7-64A0-4C5C-91FD-D0B5F6830B34}">
  <dimension ref="A1:N1001"/>
  <sheetViews>
    <sheetView tabSelected="1" workbookViewId="0">
      <selection activeCell="E21" sqref="E21"/>
    </sheetView>
  </sheetViews>
  <sheetFormatPr defaultRowHeight="14.4" x14ac:dyDescent="0.3"/>
  <cols>
    <col min="1" max="1" width="8.44140625" bestFit="1" customWidth="1"/>
    <col min="2" max="2" width="17.33203125" bestFit="1" customWidth="1"/>
    <col min="3" max="3" width="10.33203125" bestFit="1" customWidth="1"/>
    <col min="4" max="4" width="16.5546875" bestFit="1" customWidth="1"/>
    <col min="5" max="5" width="20.6640625" bestFit="1" customWidth="1"/>
    <col min="6" max="6" width="25" bestFit="1" customWidth="1"/>
    <col min="7" max="7" width="18.6640625" bestFit="1" customWidth="1"/>
    <col min="8" max="8" width="20.6640625" bestFit="1" customWidth="1"/>
    <col min="9" max="9" width="21.77734375" bestFit="1" customWidth="1"/>
    <col min="10" max="10" width="19.21875" bestFit="1" customWidth="1"/>
    <col min="11" max="11" width="17.5546875" bestFit="1" customWidth="1"/>
    <col min="12" max="12" width="16.5546875" bestFit="1" customWidth="1"/>
    <col min="13" max="13" width="14.5546875" bestFit="1" customWidth="1"/>
    <col min="14" max="14" width="11.77734375" bestFit="1" customWidth="1"/>
  </cols>
  <sheetData>
    <row r="1" spans="1:14" x14ac:dyDescent="0.3">
      <c r="A1" t="s">
        <v>3</v>
      </c>
      <c r="B1" t="s">
        <v>4</v>
      </c>
      <c r="C1" t="s">
        <v>0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</v>
      </c>
      <c r="L1" t="s">
        <v>12</v>
      </c>
      <c r="M1" t="s">
        <v>13</v>
      </c>
      <c r="N1" t="s">
        <v>2</v>
      </c>
    </row>
    <row r="2" spans="1:14" x14ac:dyDescent="0.3">
      <c r="A2" t="s">
        <v>14</v>
      </c>
      <c r="B2" t="s">
        <v>1014</v>
      </c>
      <c r="C2" t="s">
        <v>1015</v>
      </c>
      <c r="D2" s="1">
        <v>45753</v>
      </c>
      <c r="E2" s="1">
        <v>45758</v>
      </c>
      <c r="F2" t="s">
        <v>1016</v>
      </c>
      <c r="G2" t="s">
        <v>1017</v>
      </c>
      <c r="H2" t="s">
        <v>1018</v>
      </c>
      <c r="I2" t="s">
        <v>1018</v>
      </c>
      <c r="J2" t="s">
        <v>1019</v>
      </c>
      <c r="K2">
        <v>55648</v>
      </c>
      <c r="L2" t="s">
        <v>1020</v>
      </c>
      <c r="M2">
        <v>10</v>
      </c>
      <c r="N2" t="s">
        <v>1021</v>
      </c>
    </row>
    <row r="3" spans="1:14" x14ac:dyDescent="0.3">
      <c r="A3" t="s">
        <v>15</v>
      </c>
      <c r="B3" t="s">
        <v>1014</v>
      </c>
      <c r="C3" t="s">
        <v>1022</v>
      </c>
      <c r="D3" s="1">
        <v>46010</v>
      </c>
      <c r="E3" s="1">
        <v>46020</v>
      </c>
      <c r="F3" t="s">
        <v>1016</v>
      </c>
      <c r="G3" t="s">
        <v>1023</v>
      </c>
      <c r="H3" t="s">
        <v>1016</v>
      </c>
      <c r="I3" t="s">
        <v>1016</v>
      </c>
      <c r="J3" t="s">
        <v>1019</v>
      </c>
      <c r="K3">
        <v>93191</v>
      </c>
      <c r="L3" t="s">
        <v>1024</v>
      </c>
      <c r="M3">
        <v>23</v>
      </c>
      <c r="N3" t="s">
        <v>1025</v>
      </c>
    </row>
    <row r="4" spans="1:14" x14ac:dyDescent="0.3">
      <c r="A4" t="s">
        <v>16</v>
      </c>
      <c r="B4" t="s">
        <v>1026</v>
      </c>
      <c r="C4" t="s">
        <v>1022</v>
      </c>
      <c r="D4" s="1">
        <v>45794</v>
      </c>
      <c r="E4" s="1">
        <v>45827</v>
      </c>
      <c r="F4" t="s">
        <v>1018</v>
      </c>
      <c r="G4" t="s">
        <v>1027</v>
      </c>
      <c r="H4" t="s">
        <v>1018</v>
      </c>
      <c r="I4" t="s">
        <v>1018</v>
      </c>
      <c r="J4" t="s">
        <v>1027</v>
      </c>
      <c r="K4">
        <v>0</v>
      </c>
      <c r="L4" t="s">
        <v>1028</v>
      </c>
      <c r="M4">
        <v>66</v>
      </c>
      <c r="N4" t="s">
        <v>1025</v>
      </c>
    </row>
    <row r="5" spans="1:14" x14ac:dyDescent="0.3">
      <c r="A5" t="s">
        <v>17</v>
      </c>
      <c r="B5" t="s">
        <v>1029</v>
      </c>
      <c r="C5" t="s">
        <v>1022</v>
      </c>
      <c r="D5" s="1">
        <v>45834</v>
      </c>
      <c r="E5" s="1">
        <v>45841</v>
      </c>
      <c r="F5" t="s">
        <v>1016</v>
      </c>
      <c r="G5" t="s">
        <v>1017</v>
      </c>
      <c r="H5" t="s">
        <v>1018</v>
      </c>
      <c r="I5" t="s">
        <v>1018</v>
      </c>
      <c r="J5" t="s">
        <v>1019</v>
      </c>
      <c r="K5">
        <v>141105</v>
      </c>
      <c r="L5" t="s">
        <v>1020</v>
      </c>
      <c r="M5">
        <v>44</v>
      </c>
      <c r="N5" t="s">
        <v>1025</v>
      </c>
    </row>
    <row r="6" spans="1:14" x14ac:dyDescent="0.3">
      <c r="A6" t="s">
        <v>18</v>
      </c>
      <c r="B6" t="s">
        <v>1026</v>
      </c>
      <c r="C6" t="s">
        <v>1022</v>
      </c>
      <c r="D6" s="1">
        <v>45972</v>
      </c>
      <c r="E6" s="1">
        <v>46000</v>
      </c>
      <c r="F6" t="s">
        <v>1016</v>
      </c>
      <c r="G6" t="s">
        <v>1023</v>
      </c>
      <c r="H6" t="s">
        <v>1016</v>
      </c>
      <c r="I6" t="s">
        <v>1016</v>
      </c>
      <c r="J6" t="s">
        <v>1019</v>
      </c>
      <c r="K6">
        <v>74279</v>
      </c>
      <c r="L6" t="s">
        <v>1024</v>
      </c>
      <c r="M6">
        <v>51</v>
      </c>
      <c r="N6" t="s">
        <v>1030</v>
      </c>
    </row>
    <row r="7" spans="1:14" x14ac:dyDescent="0.3">
      <c r="A7" t="s">
        <v>19</v>
      </c>
      <c r="B7" t="s">
        <v>1014</v>
      </c>
      <c r="C7" t="s">
        <v>1031</v>
      </c>
      <c r="D7" s="1">
        <v>45871</v>
      </c>
      <c r="E7" s="1">
        <v>45872</v>
      </c>
      <c r="F7" t="s">
        <v>1016</v>
      </c>
      <c r="G7" t="s">
        <v>1027</v>
      </c>
      <c r="H7" t="s">
        <v>1018</v>
      </c>
      <c r="I7" t="s">
        <v>1018</v>
      </c>
      <c r="J7" t="s">
        <v>1027</v>
      </c>
      <c r="K7">
        <v>0</v>
      </c>
      <c r="L7" t="s">
        <v>1028</v>
      </c>
      <c r="M7">
        <v>13</v>
      </c>
      <c r="N7" t="s">
        <v>1021</v>
      </c>
    </row>
    <row r="8" spans="1:14" x14ac:dyDescent="0.3">
      <c r="A8" t="s">
        <v>20</v>
      </c>
      <c r="B8" t="s">
        <v>1032</v>
      </c>
      <c r="C8" t="s">
        <v>1033</v>
      </c>
      <c r="D8" s="1">
        <v>45755</v>
      </c>
      <c r="E8" s="1">
        <v>45763</v>
      </c>
      <c r="F8" t="s">
        <v>1016</v>
      </c>
      <c r="G8" t="s">
        <v>1027</v>
      </c>
      <c r="H8" t="s">
        <v>1018</v>
      </c>
      <c r="I8" t="s">
        <v>1018</v>
      </c>
      <c r="J8" t="s">
        <v>1027</v>
      </c>
      <c r="K8">
        <v>0</v>
      </c>
      <c r="L8" t="s">
        <v>1028</v>
      </c>
      <c r="M8">
        <v>17</v>
      </c>
      <c r="N8" t="s">
        <v>1030</v>
      </c>
    </row>
    <row r="9" spans="1:14" x14ac:dyDescent="0.3">
      <c r="A9" t="s">
        <v>21</v>
      </c>
      <c r="B9" t="s">
        <v>1034</v>
      </c>
      <c r="C9" t="s">
        <v>1035</v>
      </c>
      <c r="D9" s="1">
        <v>45781</v>
      </c>
      <c r="E9" s="1">
        <v>45807</v>
      </c>
      <c r="F9" t="s">
        <v>1016</v>
      </c>
      <c r="G9" t="s">
        <v>1023</v>
      </c>
      <c r="H9" t="s">
        <v>1016</v>
      </c>
      <c r="I9" t="s">
        <v>1016</v>
      </c>
      <c r="J9" t="s">
        <v>1019</v>
      </c>
      <c r="K9">
        <v>167527</v>
      </c>
      <c r="L9" t="s">
        <v>1020</v>
      </c>
      <c r="M9">
        <v>57</v>
      </c>
      <c r="N9" t="s">
        <v>1030</v>
      </c>
    </row>
    <row r="10" spans="1:14" x14ac:dyDescent="0.3">
      <c r="A10" t="s">
        <v>22</v>
      </c>
      <c r="B10" t="s">
        <v>1032</v>
      </c>
      <c r="C10" t="s">
        <v>1035</v>
      </c>
      <c r="D10" s="1">
        <v>45845</v>
      </c>
      <c r="E10" s="1">
        <v>45848</v>
      </c>
      <c r="F10" t="s">
        <v>1016</v>
      </c>
      <c r="G10" t="s">
        <v>1027</v>
      </c>
      <c r="H10" t="s">
        <v>1018</v>
      </c>
      <c r="I10" t="s">
        <v>1018</v>
      </c>
      <c r="J10" t="s">
        <v>1027</v>
      </c>
      <c r="K10">
        <v>0</v>
      </c>
      <c r="L10" t="s">
        <v>1028</v>
      </c>
      <c r="M10">
        <v>19</v>
      </c>
      <c r="N10" t="s">
        <v>1036</v>
      </c>
    </row>
    <row r="11" spans="1:14" x14ac:dyDescent="0.3">
      <c r="A11" t="s">
        <v>23</v>
      </c>
      <c r="B11" t="s">
        <v>1029</v>
      </c>
      <c r="C11" t="s">
        <v>1031</v>
      </c>
      <c r="D11" s="1">
        <v>45718</v>
      </c>
      <c r="E11" s="1">
        <v>45740</v>
      </c>
      <c r="F11" t="s">
        <v>1016</v>
      </c>
      <c r="G11" t="s">
        <v>1027</v>
      </c>
      <c r="H11" t="s">
        <v>1018</v>
      </c>
      <c r="I11" t="s">
        <v>1018</v>
      </c>
      <c r="J11" t="s">
        <v>1027</v>
      </c>
      <c r="K11">
        <v>0</v>
      </c>
      <c r="L11" t="s">
        <v>1028</v>
      </c>
      <c r="M11">
        <v>32</v>
      </c>
      <c r="N11" t="s">
        <v>1021</v>
      </c>
    </row>
    <row r="12" spans="1:14" x14ac:dyDescent="0.3">
      <c r="A12" t="s">
        <v>24</v>
      </c>
      <c r="B12" t="s">
        <v>1026</v>
      </c>
      <c r="C12" t="s">
        <v>1035</v>
      </c>
      <c r="D12" s="1">
        <v>45881</v>
      </c>
      <c r="E12" s="1">
        <v>45906</v>
      </c>
      <c r="F12" t="s">
        <v>1016</v>
      </c>
      <c r="G12" t="s">
        <v>1023</v>
      </c>
      <c r="H12" t="s">
        <v>1016</v>
      </c>
      <c r="I12" t="s">
        <v>1016</v>
      </c>
      <c r="J12" t="s">
        <v>1019</v>
      </c>
      <c r="K12">
        <v>114717</v>
      </c>
      <c r="L12" t="s">
        <v>1024</v>
      </c>
      <c r="M12">
        <v>65</v>
      </c>
      <c r="N12" t="s">
        <v>1030</v>
      </c>
    </row>
    <row r="13" spans="1:14" x14ac:dyDescent="0.3">
      <c r="A13" t="s">
        <v>25</v>
      </c>
      <c r="B13" t="s">
        <v>1029</v>
      </c>
      <c r="C13" t="s">
        <v>1031</v>
      </c>
      <c r="D13" s="1">
        <v>45845</v>
      </c>
      <c r="E13" s="1">
        <v>45882</v>
      </c>
      <c r="F13" t="s">
        <v>1018</v>
      </c>
      <c r="G13" t="s">
        <v>1017</v>
      </c>
      <c r="H13" t="s">
        <v>1018</v>
      </c>
      <c r="I13" t="s">
        <v>1018</v>
      </c>
      <c r="J13" t="s">
        <v>1019</v>
      </c>
      <c r="K13">
        <v>197412</v>
      </c>
      <c r="L13" t="s">
        <v>1020</v>
      </c>
      <c r="M13">
        <v>63</v>
      </c>
      <c r="N13" t="s">
        <v>1036</v>
      </c>
    </row>
    <row r="14" spans="1:14" x14ac:dyDescent="0.3">
      <c r="A14" t="s">
        <v>26</v>
      </c>
      <c r="B14" t="s">
        <v>1026</v>
      </c>
      <c r="C14" t="s">
        <v>1015</v>
      </c>
      <c r="D14" s="1">
        <v>45819</v>
      </c>
      <c r="E14" s="1">
        <v>45853</v>
      </c>
      <c r="F14" t="s">
        <v>1018</v>
      </c>
      <c r="G14" t="s">
        <v>1017</v>
      </c>
      <c r="H14" t="s">
        <v>1018</v>
      </c>
      <c r="I14" t="s">
        <v>1018</v>
      </c>
      <c r="J14" t="s">
        <v>1019</v>
      </c>
      <c r="K14">
        <v>169975</v>
      </c>
      <c r="L14" t="s">
        <v>1020</v>
      </c>
      <c r="M14">
        <v>67</v>
      </c>
      <c r="N14" t="s">
        <v>1021</v>
      </c>
    </row>
    <row r="15" spans="1:14" x14ac:dyDescent="0.3">
      <c r="A15" t="s">
        <v>27</v>
      </c>
      <c r="B15" t="s">
        <v>1037</v>
      </c>
      <c r="C15" t="s">
        <v>1031</v>
      </c>
      <c r="D15" s="1">
        <v>45816</v>
      </c>
      <c r="E15" s="1">
        <v>45821</v>
      </c>
      <c r="F15" t="s">
        <v>1016</v>
      </c>
      <c r="G15" t="s">
        <v>1027</v>
      </c>
      <c r="H15" t="s">
        <v>1018</v>
      </c>
      <c r="I15" t="s">
        <v>1018</v>
      </c>
      <c r="J15" t="s">
        <v>1027</v>
      </c>
      <c r="K15">
        <v>0</v>
      </c>
      <c r="L15" t="s">
        <v>1028</v>
      </c>
      <c r="M15">
        <v>15</v>
      </c>
      <c r="N15" t="s">
        <v>1021</v>
      </c>
    </row>
    <row r="16" spans="1:14" x14ac:dyDescent="0.3">
      <c r="A16" t="s">
        <v>28</v>
      </c>
      <c r="B16" t="s">
        <v>1026</v>
      </c>
      <c r="C16" t="s">
        <v>1022</v>
      </c>
      <c r="D16" s="1">
        <v>45660</v>
      </c>
      <c r="E16" s="1">
        <v>45687</v>
      </c>
      <c r="F16" t="s">
        <v>1016</v>
      </c>
      <c r="G16" t="s">
        <v>1017</v>
      </c>
      <c r="H16" t="s">
        <v>1018</v>
      </c>
      <c r="I16" t="s">
        <v>1018</v>
      </c>
      <c r="J16" t="s">
        <v>1019</v>
      </c>
      <c r="K16">
        <v>86278</v>
      </c>
      <c r="L16" t="s">
        <v>1020</v>
      </c>
      <c r="M16">
        <v>55</v>
      </c>
      <c r="N16" t="s">
        <v>1025</v>
      </c>
    </row>
    <row r="17" spans="1:14" x14ac:dyDescent="0.3">
      <c r="A17" t="s">
        <v>29</v>
      </c>
      <c r="B17" t="s">
        <v>1026</v>
      </c>
      <c r="C17" t="s">
        <v>1031</v>
      </c>
      <c r="D17" s="1">
        <v>45896</v>
      </c>
      <c r="E17" s="1">
        <v>45939</v>
      </c>
      <c r="F17" t="s">
        <v>1018</v>
      </c>
      <c r="G17" t="s">
        <v>1027</v>
      </c>
      <c r="H17" t="s">
        <v>1018</v>
      </c>
      <c r="I17" t="s">
        <v>1018</v>
      </c>
      <c r="J17" t="s">
        <v>1027</v>
      </c>
      <c r="K17">
        <v>0</v>
      </c>
      <c r="L17" t="s">
        <v>1028</v>
      </c>
      <c r="M17">
        <v>60</v>
      </c>
      <c r="N17" t="s">
        <v>1030</v>
      </c>
    </row>
    <row r="18" spans="1:14" x14ac:dyDescent="0.3">
      <c r="A18" t="s">
        <v>30</v>
      </c>
      <c r="B18" t="s">
        <v>1029</v>
      </c>
      <c r="C18" t="s">
        <v>1015</v>
      </c>
      <c r="D18" s="1">
        <v>45937</v>
      </c>
      <c r="E18" s="1">
        <v>45939</v>
      </c>
      <c r="F18" t="s">
        <v>1016</v>
      </c>
      <c r="G18" t="s">
        <v>1027</v>
      </c>
      <c r="H18" t="s">
        <v>1018</v>
      </c>
      <c r="I18" t="s">
        <v>1018</v>
      </c>
      <c r="J18" t="s">
        <v>1027</v>
      </c>
      <c r="K18">
        <v>0</v>
      </c>
      <c r="L18" t="s">
        <v>1028</v>
      </c>
      <c r="M18">
        <v>35</v>
      </c>
      <c r="N18" t="s">
        <v>1036</v>
      </c>
    </row>
    <row r="19" spans="1:14" x14ac:dyDescent="0.3">
      <c r="A19" t="s">
        <v>31</v>
      </c>
      <c r="B19" t="s">
        <v>1026</v>
      </c>
      <c r="C19" t="s">
        <v>1022</v>
      </c>
      <c r="D19" s="1">
        <v>45732</v>
      </c>
      <c r="E19" s="1">
        <v>45769</v>
      </c>
      <c r="F19" t="s">
        <v>1018</v>
      </c>
      <c r="G19" t="s">
        <v>1027</v>
      </c>
      <c r="H19" t="s">
        <v>1018</v>
      </c>
      <c r="I19" t="s">
        <v>1018</v>
      </c>
      <c r="J19" t="s">
        <v>1027</v>
      </c>
      <c r="K19">
        <v>0</v>
      </c>
      <c r="L19" t="s">
        <v>1028</v>
      </c>
      <c r="M19">
        <v>52</v>
      </c>
      <c r="N19" t="s">
        <v>1025</v>
      </c>
    </row>
    <row r="20" spans="1:14" x14ac:dyDescent="0.3">
      <c r="A20" t="s">
        <v>32</v>
      </c>
      <c r="B20" t="s">
        <v>1029</v>
      </c>
      <c r="C20" t="s">
        <v>1035</v>
      </c>
      <c r="D20" s="1">
        <v>45667</v>
      </c>
      <c r="E20" s="1">
        <v>45685</v>
      </c>
      <c r="F20" t="s">
        <v>1016</v>
      </c>
      <c r="G20" t="s">
        <v>1027</v>
      </c>
      <c r="H20" t="s">
        <v>1018</v>
      </c>
      <c r="I20" t="s">
        <v>1018</v>
      </c>
      <c r="J20" t="s">
        <v>1027</v>
      </c>
      <c r="K20">
        <v>0</v>
      </c>
      <c r="L20" t="s">
        <v>1028</v>
      </c>
      <c r="M20">
        <v>28</v>
      </c>
      <c r="N20" t="s">
        <v>1036</v>
      </c>
    </row>
    <row r="21" spans="1:14" x14ac:dyDescent="0.3">
      <c r="A21" t="s">
        <v>33</v>
      </c>
      <c r="B21" t="s">
        <v>1029</v>
      </c>
      <c r="C21" t="s">
        <v>1031</v>
      </c>
      <c r="D21" s="1">
        <v>45909</v>
      </c>
      <c r="E21" s="1">
        <v>45954</v>
      </c>
      <c r="F21" t="s">
        <v>1018</v>
      </c>
      <c r="G21" t="s">
        <v>1023</v>
      </c>
      <c r="H21" t="s">
        <v>1016</v>
      </c>
      <c r="I21" t="s">
        <v>1018</v>
      </c>
      <c r="J21" t="s">
        <v>1027</v>
      </c>
      <c r="K21">
        <v>0</v>
      </c>
      <c r="L21" t="s">
        <v>1028</v>
      </c>
      <c r="M21">
        <v>83</v>
      </c>
      <c r="N21" t="s">
        <v>1030</v>
      </c>
    </row>
    <row r="22" spans="1:14" x14ac:dyDescent="0.3">
      <c r="A22" t="s">
        <v>34</v>
      </c>
      <c r="B22" t="s">
        <v>1026</v>
      </c>
      <c r="C22" t="s">
        <v>1015</v>
      </c>
      <c r="D22" s="1">
        <v>45972</v>
      </c>
      <c r="E22" s="1">
        <v>45987</v>
      </c>
      <c r="F22" t="s">
        <v>1016</v>
      </c>
      <c r="G22" t="s">
        <v>1027</v>
      </c>
      <c r="H22" t="s">
        <v>1018</v>
      </c>
      <c r="I22" t="s">
        <v>1018</v>
      </c>
      <c r="J22" t="s">
        <v>1027</v>
      </c>
      <c r="K22">
        <v>0</v>
      </c>
      <c r="L22" t="s">
        <v>1028</v>
      </c>
      <c r="M22">
        <v>27</v>
      </c>
      <c r="N22" t="s">
        <v>1030</v>
      </c>
    </row>
    <row r="23" spans="1:14" x14ac:dyDescent="0.3">
      <c r="A23" t="s">
        <v>35</v>
      </c>
      <c r="B23" t="s">
        <v>1014</v>
      </c>
      <c r="C23" t="s">
        <v>1022</v>
      </c>
      <c r="D23" s="1">
        <v>45666</v>
      </c>
      <c r="E23" s="1">
        <v>45678</v>
      </c>
      <c r="F23" t="s">
        <v>1016</v>
      </c>
      <c r="G23" t="s">
        <v>1023</v>
      </c>
      <c r="H23" t="s">
        <v>1016</v>
      </c>
      <c r="I23" t="s">
        <v>1016</v>
      </c>
      <c r="J23" t="s">
        <v>1019</v>
      </c>
      <c r="K23">
        <v>127765</v>
      </c>
      <c r="L23" t="s">
        <v>1020</v>
      </c>
      <c r="M23">
        <v>50</v>
      </c>
      <c r="N23" t="s">
        <v>1030</v>
      </c>
    </row>
    <row r="24" spans="1:14" x14ac:dyDescent="0.3">
      <c r="A24" t="s">
        <v>36</v>
      </c>
      <c r="B24" t="s">
        <v>1014</v>
      </c>
      <c r="C24" t="s">
        <v>1022</v>
      </c>
      <c r="D24" s="1">
        <v>45962</v>
      </c>
      <c r="E24" s="1">
        <v>46005</v>
      </c>
      <c r="F24" t="s">
        <v>1018</v>
      </c>
      <c r="G24" t="s">
        <v>1023</v>
      </c>
      <c r="H24" t="s">
        <v>1016</v>
      </c>
      <c r="I24" t="s">
        <v>1016</v>
      </c>
      <c r="J24" t="s">
        <v>1019</v>
      </c>
      <c r="K24">
        <v>58532</v>
      </c>
      <c r="L24" t="s">
        <v>1020</v>
      </c>
      <c r="M24">
        <v>50</v>
      </c>
      <c r="N24" t="s">
        <v>1036</v>
      </c>
    </row>
    <row r="25" spans="1:14" x14ac:dyDescent="0.3">
      <c r="A25" t="s">
        <v>37</v>
      </c>
      <c r="B25" t="s">
        <v>1034</v>
      </c>
      <c r="C25" t="s">
        <v>1015</v>
      </c>
      <c r="D25" s="1">
        <v>45791</v>
      </c>
      <c r="E25" s="1">
        <v>45796</v>
      </c>
      <c r="F25" t="s">
        <v>1016</v>
      </c>
      <c r="G25" t="s">
        <v>1023</v>
      </c>
      <c r="H25" t="s">
        <v>1016</v>
      </c>
      <c r="I25" t="s">
        <v>1016</v>
      </c>
      <c r="J25" t="s">
        <v>1019</v>
      </c>
      <c r="K25">
        <v>181073</v>
      </c>
      <c r="L25" t="s">
        <v>1024</v>
      </c>
      <c r="M25">
        <v>37</v>
      </c>
      <c r="N25" t="s">
        <v>1030</v>
      </c>
    </row>
    <row r="26" spans="1:14" x14ac:dyDescent="0.3">
      <c r="A26" t="s">
        <v>38</v>
      </c>
      <c r="B26" t="s">
        <v>1032</v>
      </c>
      <c r="C26" t="s">
        <v>1031</v>
      </c>
      <c r="D26" s="1">
        <v>45831</v>
      </c>
      <c r="E26" s="1">
        <v>45857</v>
      </c>
      <c r="F26" t="s">
        <v>1016</v>
      </c>
      <c r="G26" t="s">
        <v>1027</v>
      </c>
      <c r="H26" t="s">
        <v>1018</v>
      </c>
      <c r="I26" t="s">
        <v>1018</v>
      </c>
      <c r="J26" t="s">
        <v>1027</v>
      </c>
      <c r="K26">
        <v>0</v>
      </c>
      <c r="L26" t="s">
        <v>1028</v>
      </c>
      <c r="M26">
        <v>33</v>
      </c>
      <c r="N26" t="s">
        <v>1036</v>
      </c>
    </row>
    <row r="27" spans="1:14" x14ac:dyDescent="0.3">
      <c r="A27" t="s">
        <v>39</v>
      </c>
      <c r="B27" t="s">
        <v>1026</v>
      </c>
      <c r="C27" t="s">
        <v>1031</v>
      </c>
      <c r="D27" s="1">
        <v>45978</v>
      </c>
      <c r="E27" s="1">
        <v>45998</v>
      </c>
      <c r="F27" t="s">
        <v>1016</v>
      </c>
      <c r="G27" t="s">
        <v>1027</v>
      </c>
      <c r="H27" t="s">
        <v>1018</v>
      </c>
      <c r="I27" t="s">
        <v>1018</v>
      </c>
      <c r="J27" t="s">
        <v>1027</v>
      </c>
      <c r="K27">
        <v>0</v>
      </c>
      <c r="L27" t="s">
        <v>1028</v>
      </c>
      <c r="M27">
        <v>30</v>
      </c>
      <c r="N27" t="s">
        <v>1025</v>
      </c>
    </row>
    <row r="28" spans="1:14" x14ac:dyDescent="0.3">
      <c r="A28" t="s">
        <v>40</v>
      </c>
      <c r="B28" t="s">
        <v>1029</v>
      </c>
      <c r="C28" t="s">
        <v>1031</v>
      </c>
      <c r="D28" s="1">
        <v>45950</v>
      </c>
      <c r="E28" s="1">
        <v>45980</v>
      </c>
      <c r="F28" t="s">
        <v>1016</v>
      </c>
      <c r="G28" t="s">
        <v>1027</v>
      </c>
      <c r="H28" t="s">
        <v>1018</v>
      </c>
      <c r="I28" t="s">
        <v>1018</v>
      </c>
      <c r="J28" t="s">
        <v>1027</v>
      </c>
      <c r="K28">
        <v>0</v>
      </c>
      <c r="L28" t="s">
        <v>1028</v>
      </c>
      <c r="M28">
        <v>62</v>
      </c>
      <c r="N28" t="s">
        <v>1036</v>
      </c>
    </row>
    <row r="29" spans="1:14" x14ac:dyDescent="0.3">
      <c r="A29" t="s">
        <v>41</v>
      </c>
      <c r="B29" t="s">
        <v>1032</v>
      </c>
      <c r="C29" t="s">
        <v>1031</v>
      </c>
      <c r="D29" s="1">
        <v>45726</v>
      </c>
      <c r="E29" s="1">
        <v>45738</v>
      </c>
      <c r="F29" t="s">
        <v>1016</v>
      </c>
      <c r="G29" t="s">
        <v>1023</v>
      </c>
      <c r="H29" t="s">
        <v>1016</v>
      </c>
      <c r="I29" t="s">
        <v>1018</v>
      </c>
      <c r="J29" t="s">
        <v>1027</v>
      </c>
      <c r="K29">
        <v>0</v>
      </c>
      <c r="L29" t="s">
        <v>1028</v>
      </c>
      <c r="M29">
        <v>19</v>
      </c>
      <c r="N29" t="s">
        <v>1030</v>
      </c>
    </row>
    <row r="30" spans="1:14" x14ac:dyDescent="0.3">
      <c r="A30" t="s">
        <v>42</v>
      </c>
      <c r="B30" t="s">
        <v>1032</v>
      </c>
      <c r="C30" t="s">
        <v>1031</v>
      </c>
      <c r="D30" s="1">
        <v>45698</v>
      </c>
      <c r="E30" s="1">
        <v>45729</v>
      </c>
      <c r="F30" t="s">
        <v>1018</v>
      </c>
      <c r="G30" t="s">
        <v>1017</v>
      </c>
      <c r="H30" t="s">
        <v>1018</v>
      </c>
      <c r="I30" t="s">
        <v>1018</v>
      </c>
      <c r="J30" t="s">
        <v>1019</v>
      </c>
      <c r="K30">
        <v>76903</v>
      </c>
      <c r="L30" t="s">
        <v>1020</v>
      </c>
      <c r="M30">
        <v>59</v>
      </c>
      <c r="N30" t="s">
        <v>1030</v>
      </c>
    </row>
    <row r="31" spans="1:14" x14ac:dyDescent="0.3">
      <c r="A31" t="s">
        <v>43</v>
      </c>
      <c r="B31" t="s">
        <v>1029</v>
      </c>
      <c r="C31" t="s">
        <v>1033</v>
      </c>
      <c r="D31" s="1">
        <v>45927</v>
      </c>
      <c r="E31" s="1">
        <v>45947</v>
      </c>
      <c r="F31" t="s">
        <v>1016</v>
      </c>
      <c r="G31" t="s">
        <v>1017</v>
      </c>
      <c r="H31" t="s">
        <v>1018</v>
      </c>
      <c r="I31" t="s">
        <v>1018</v>
      </c>
      <c r="J31" t="s">
        <v>1019</v>
      </c>
      <c r="K31">
        <v>23495</v>
      </c>
      <c r="L31" t="s">
        <v>1020</v>
      </c>
      <c r="M31">
        <v>33</v>
      </c>
      <c r="N31" t="s">
        <v>1036</v>
      </c>
    </row>
    <row r="32" spans="1:14" x14ac:dyDescent="0.3">
      <c r="A32" t="s">
        <v>44</v>
      </c>
      <c r="B32" t="s">
        <v>1034</v>
      </c>
      <c r="C32" t="s">
        <v>1033</v>
      </c>
      <c r="D32" s="1">
        <v>45980</v>
      </c>
      <c r="E32" s="1">
        <v>46005</v>
      </c>
      <c r="F32" t="s">
        <v>1016</v>
      </c>
      <c r="G32" t="s">
        <v>1023</v>
      </c>
      <c r="H32" t="s">
        <v>1016</v>
      </c>
      <c r="I32" t="s">
        <v>1016</v>
      </c>
      <c r="J32" t="s">
        <v>1019</v>
      </c>
      <c r="K32">
        <v>122128</v>
      </c>
      <c r="L32" t="s">
        <v>1020</v>
      </c>
      <c r="M32">
        <v>40</v>
      </c>
      <c r="N32" t="s">
        <v>1021</v>
      </c>
    </row>
    <row r="33" spans="1:14" x14ac:dyDescent="0.3">
      <c r="A33" t="s">
        <v>45</v>
      </c>
      <c r="B33" t="s">
        <v>1032</v>
      </c>
      <c r="C33" t="s">
        <v>1015</v>
      </c>
      <c r="D33" s="1">
        <v>45787</v>
      </c>
      <c r="E33" s="1">
        <v>45828</v>
      </c>
      <c r="F33" t="s">
        <v>1018</v>
      </c>
      <c r="G33" t="s">
        <v>1023</v>
      </c>
      <c r="H33" t="s">
        <v>1016</v>
      </c>
      <c r="I33" t="s">
        <v>1016</v>
      </c>
      <c r="J33" t="s">
        <v>1019</v>
      </c>
      <c r="K33">
        <v>136225</v>
      </c>
      <c r="L33" t="s">
        <v>1020</v>
      </c>
      <c r="M33">
        <v>70</v>
      </c>
      <c r="N33" t="s">
        <v>1021</v>
      </c>
    </row>
    <row r="34" spans="1:14" x14ac:dyDescent="0.3">
      <c r="A34" t="s">
        <v>46</v>
      </c>
      <c r="B34" t="s">
        <v>1032</v>
      </c>
      <c r="C34" t="s">
        <v>1022</v>
      </c>
      <c r="D34" s="1">
        <v>45695</v>
      </c>
      <c r="E34" s="1">
        <v>45703</v>
      </c>
      <c r="F34" t="s">
        <v>1016</v>
      </c>
      <c r="G34" t="s">
        <v>1023</v>
      </c>
      <c r="H34" t="s">
        <v>1016</v>
      </c>
      <c r="I34" t="s">
        <v>1018</v>
      </c>
      <c r="J34" t="s">
        <v>1027</v>
      </c>
      <c r="K34">
        <v>0</v>
      </c>
      <c r="L34" t="s">
        <v>1028</v>
      </c>
      <c r="M34">
        <v>21</v>
      </c>
      <c r="N34" t="s">
        <v>1021</v>
      </c>
    </row>
    <row r="35" spans="1:14" x14ac:dyDescent="0.3">
      <c r="A35" t="s">
        <v>47</v>
      </c>
      <c r="B35" t="s">
        <v>1032</v>
      </c>
      <c r="C35" t="s">
        <v>1033</v>
      </c>
      <c r="D35" s="1">
        <v>45846</v>
      </c>
      <c r="E35" s="1">
        <v>45858</v>
      </c>
      <c r="F35" t="s">
        <v>1016</v>
      </c>
      <c r="G35" t="s">
        <v>1017</v>
      </c>
      <c r="H35" t="s">
        <v>1018</v>
      </c>
      <c r="I35" t="s">
        <v>1018</v>
      </c>
      <c r="J35" t="s">
        <v>1019</v>
      </c>
      <c r="K35">
        <v>40299</v>
      </c>
      <c r="L35" t="s">
        <v>1024</v>
      </c>
      <c r="M35">
        <v>41</v>
      </c>
      <c r="N35" t="s">
        <v>1021</v>
      </c>
    </row>
    <row r="36" spans="1:14" x14ac:dyDescent="0.3">
      <c r="A36" t="s">
        <v>48</v>
      </c>
      <c r="B36" t="s">
        <v>1014</v>
      </c>
      <c r="C36" t="s">
        <v>1015</v>
      </c>
      <c r="D36" s="1">
        <v>45696</v>
      </c>
      <c r="E36" s="1">
        <v>45714</v>
      </c>
      <c r="F36" t="s">
        <v>1016</v>
      </c>
      <c r="G36" t="s">
        <v>1027</v>
      </c>
      <c r="H36" t="s">
        <v>1018</v>
      </c>
      <c r="I36" t="s">
        <v>1018</v>
      </c>
      <c r="J36" t="s">
        <v>1027</v>
      </c>
      <c r="K36">
        <v>0</v>
      </c>
      <c r="L36" t="s">
        <v>1028</v>
      </c>
      <c r="M36">
        <v>36</v>
      </c>
      <c r="N36" t="s">
        <v>1030</v>
      </c>
    </row>
    <row r="37" spans="1:14" x14ac:dyDescent="0.3">
      <c r="A37" t="s">
        <v>49</v>
      </c>
      <c r="B37" t="s">
        <v>1034</v>
      </c>
      <c r="C37" t="s">
        <v>1033</v>
      </c>
      <c r="D37" s="1">
        <v>45696</v>
      </c>
      <c r="E37" s="1">
        <v>45709</v>
      </c>
      <c r="F37" t="s">
        <v>1016</v>
      </c>
      <c r="G37" t="s">
        <v>1017</v>
      </c>
      <c r="H37" t="s">
        <v>1018</v>
      </c>
      <c r="I37" t="s">
        <v>1018</v>
      </c>
      <c r="J37" t="s">
        <v>1019</v>
      </c>
      <c r="K37">
        <v>175112</v>
      </c>
      <c r="L37" t="s">
        <v>1020</v>
      </c>
      <c r="M37">
        <v>37</v>
      </c>
      <c r="N37" t="s">
        <v>1025</v>
      </c>
    </row>
    <row r="38" spans="1:14" x14ac:dyDescent="0.3">
      <c r="A38" t="s">
        <v>50</v>
      </c>
      <c r="B38" t="s">
        <v>1032</v>
      </c>
      <c r="C38" t="s">
        <v>1035</v>
      </c>
      <c r="D38" s="1">
        <v>45970</v>
      </c>
      <c r="E38" s="1">
        <v>45987</v>
      </c>
      <c r="F38" t="s">
        <v>1016</v>
      </c>
      <c r="G38" t="s">
        <v>1023</v>
      </c>
      <c r="H38" t="s">
        <v>1016</v>
      </c>
      <c r="I38" t="s">
        <v>1016</v>
      </c>
      <c r="J38" t="s">
        <v>1019</v>
      </c>
      <c r="K38">
        <v>199282</v>
      </c>
      <c r="L38" t="s">
        <v>1020</v>
      </c>
      <c r="M38">
        <v>41</v>
      </c>
      <c r="N38" t="s">
        <v>1030</v>
      </c>
    </row>
    <row r="39" spans="1:14" x14ac:dyDescent="0.3">
      <c r="A39" t="s">
        <v>51</v>
      </c>
      <c r="B39" t="s">
        <v>1014</v>
      </c>
      <c r="C39" t="s">
        <v>1031</v>
      </c>
      <c r="D39" s="1">
        <v>45797</v>
      </c>
      <c r="E39" s="1">
        <v>45828</v>
      </c>
      <c r="F39" t="s">
        <v>1018</v>
      </c>
      <c r="G39" t="s">
        <v>1027</v>
      </c>
      <c r="H39" t="s">
        <v>1018</v>
      </c>
      <c r="I39" t="s">
        <v>1018</v>
      </c>
      <c r="J39" t="s">
        <v>1027</v>
      </c>
      <c r="K39">
        <v>0</v>
      </c>
      <c r="L39" t="s">
        <v>1028</v>
      </c>
      <c r="M39">
        <v>63</v>
      </c>
      <c r="N39" t="s">
        <v>1036</v>
      </c>
    </row>
    <row r="40" spans="1:14" x14ac:dyDescent="0.3">
      <c r="A40" t="s">
        <v>52</v>
      </c>
      <c r="B40" t="s">
        <v>1029</v>
      </c>
      <c r="C40" t="s">
        <v>1035</v>
      </c>
      <c r="D40" s="1">
        <v>45812</v>
      </c>
      <c r="E40" s="1">
        <v>45815</v>
      </c>
      <c r="F40" t="s">
        <v>1016</v>
      </c>
      <c r="G40" t="s">
        <v>1027</v>
      </c>
      <c r="H40" t="s">
        <v>1018</v>
      </c>
      <c r="I40" t="s">
        <v>1018</v>
      </c>
      <c r="J40" t="s">
        <v>1027</v>
      </c>
      <c r="K40">
        <v>0</v>
      </c>
      <c r="L40" t="s">
        <v>1028</v>
      </c>
      <c r="M40">
        <v>20</v>
      </c>
      <c r="N40" t="s">
        <v>1030</v>
      </c>
    </row>
    <row r="41" spans="1:14" x14ac:dyDescent="0.3">
      <c r="A41" t="s">
        <v>53</v>
      </c>
      <c r="B41" t="s">
        <v>1034</v>
      </c>
      <c r="C41" t="s">
        <v>1031</v>
      </c>
      <c r="D41" s="1">
        <v>46010</v>
      </c>
      <c r="E41" s="1">
        <v>46035</v>
      </c>
      <c r="F41" t="s">
        <v>1016</v>
      </c>
      <c r="G41" t="s">
        <v>1017</v>
      </c>
      <c r="H41" t="s">
        <v>1018</v>
      </c>
      <c r="I41" t="s">
        <v>1018</v>
      </c>
      <c r="J41" t="s">
        <v>1019</v>
      </c>
      <c r="K41">
        <v>94044</v>
      </c>
      <c r="L41" t="s">
        <v>1020</v>
      </c>
      <c r="M41">
        <v>53</v>
      </c>
      <c r="N41" t="s">
        <v>1021</v>
      </c>
    </row>
    <row r="42" spans="1:14" x14ac:dyDescent="0.3">
      <c r="A42" t="s">
        <v>54</v>
      </c>
      <c r="B42" t="s">
        <v>1026</v>
      </c>
      <c r="C42" t="s">
        <v>1035</v>
      </c>
      <c r="D42" s="1">
        <v>45700</v>
      </c>
      <c r="E42" s="1">
        <v>45744</v>
      </c>
      <c r="F42" t="s">
        <v>1018</v>
      </c>
      <c r="G42" t="s">
        <v>1017</v>
      </c>
      <c r="H42" t="s">
        <v>1018</v>
      </c>
      <c r="I42" t="s">
        <v>1018</v>
      </c>
      <c r="J42" t="s">
        <v>1019</v>
      </c>
      <c r="K42">
        <v>98629</v>
      </c>
      <c r="L42" t="s">
        <v>1020</v>
      </c>
      <c r="M42">
        <v>55</v>
      </c>
      <c r="N42" t="s">
        <v>1036</v>
      </c>
    </row>
    <row r="43" spans="1:14" x14ac:dyDescent="0.3">
      <c r="A43" t="s">
        <v>55</v>
      </c>
      <c r="B43" t="s">
        <v>1037</v>
      </c>
      <c r="C43" t="s">
        <v>1033</v>
      </c>
      <c r="D43" s="1">
        <v>45728</v>
      </c>
      <c r="E43" s="1">
        <v>45755</v>
      </c>
      <c r="F43" t="s">
        <v>1016</v>
      </c>
      <c r="G43" t="s">
        <v>1017</v>
      </c>
      <c r="H43" t="s">
        <v>1018</v>
      </c>
      <c r="I43" t="s">
        <v>1018</v>
      </c>
      <c r="J43" t="s">
        <v>1019</v>
      </c>
      <c r="K43">
        <v>38669</v>
      </c>
      <c r="L43" t="s">
        <v>1020</v>
      </c>
      <c r="M43">
        <v>63</v>
      </c>
      <c r="N43" t="s">
        <v>1036</v>
      </c>
    </row>
    <row r="44" spans="1:14" x14ac:dyDescent="0.3">
      <c r="A44" t="s">
        <v>56</v>
      </c>
      <c r="B44" t="s">
        <v>1014</v>
      </c>
      <c r="C44" t="s">
        <v>1035</v>
      </c>
      <c r="D44" s="1">
        <v>45999</v>
      </c>
      <c r="E44" s="1">
        <v>46011</v>
      </c>
      <c r="F44" t="s">
        <v>1016</v>
      </c>
      <c r="G44" t="s">
        <v>1017</v>
      </c>
      <c r="H44" t="s">
        <v>1018</v>
      </c>
      <c r="I44" t="s">
        <v>1018</v>
      </c>
      <c r="J44" t="s">
        <v>1019</v>
      </c>
      <c r="K44">
        <v>164035</v>
      </c>
      <c r="L44" t="s">
        <v>1020</v>
      </c>
      <c r="M44">
        <v>36</v>
      </c>
      <c r="N44" t="s">
        <v>1036</v>
      </c>
    </row>
    <row r="45" spans="1:14" x14ac:dyDescent="0.3">
      <c r="A45" t="s">
        <v>57</v>
      </c>
      <c r="B45" t="s">
        <v>1026</v>
      </c>
      <c r="C45" t="s">
        <v>1015</v>
      </c>
      <c r="D45" s="1">
        <v>45893</v>
      </c>
      <c r="E45" s="1">
        <v>45900</v>
      </c>
      <c r="F45" t="s">
        <v>1016</v>
      </c>
      <c r="G45" t="s">
        <v>1027</v>
      </c>
      <c r="H45" t="s">
        <v>1018</v>
      </c>
      <c r="I45" t="s">
        <v>1018</v>
      </c>
      <c r="J45" t="s">
        <v>1027</v>
      </c>
      <c r="K45">
        <v>0</v>
      </c>
      <c r="L45" t="s">
        <v>1028</v>
      </c>
      <c r="M45">
        <v>24</v>
      </c>
      <c r="N45" t="s">
        <v>1025</v>
      </c>
    </row>
    <row r="46" spans="1:14" x14ac:dyDescent="0.3">
      <c r="A46" t="s">
        <v>58</v>
      </c>
      <c r="B46" t="s">
        <v>1026</v>
      </c>
      <c r="C46" t="s">
        <v>1015</v>
      </c>
      <c r="D46" s="1">
        <v>45752</v>
      </c>
      <c r="E46" s="1">
        <v>45795</v>
      </c>
      <c r="F46" t="s">
        <v>1018</v>
      </c>
      <c r="G46" t="s">
        <v>1027</v>
      </c>
      <c r="H46" t="s">
        <v>1018</v>
      </c>
      <c r="I46" t="s">
        <v>1018</v>
      </c>
      <c r="J46" t="s">
        <v>1027</v>
      </c>
      <c r="K46">
        <v>0</v>
      </c>
      <c r="L46" t="s">
        <v>1028</v>
      </c>
      <c r="M46">
        <v>77</v>
      </c>
      <c r="N46" t="s">
        <v>1025</v>
      </c>
    </row>
    <row r="47" spans="1:14" x14ac:dyDescent="0.3">
      <c r="A47" t="s">
        <v>59</v>
      </c>
      <c r="B47" t="s">
        <v>1037</v>
      </c>
      <c r="C47" t="s">
        <v>1022</v>
      </c>
      <c r="D47" s="1">
        <v>45708</v>
      </c>
      <c r="E47" s="1">
        <v>45745</v>
      </c>
      <c r="F47" t="s">
        <v>1018</v>
      </c>
      <c r="G47" t="s">
        <v>1023</v>
      </c>
      <c r="H47" t="s">
        <v>1016</v>
      </c>
      <c r="I47" t="s">
        <v>1016</v>
      </c>
      <c r="J47" t="s">
        <v>1019</v>
      </c>
      <c r="K47">
        <v>188191</v>
      </c>
      <c r="L47" t="s">
        <v>1020</v>
      </c>
      <c r="M47">
        <v>61</v>
      </c>
      <c r="N47" t="s">
        <v>1030</v>
      </c>
    </row>
    <row r="48" spans="1:14" x14ac:dyDescent="0.3">
      <c r="A48" t="s">
        <v>60</v>
      </c>
      <c r="B48" t="s">
        <v>1026</v>
      </c>
      <c r="C48" t="s">
        <v>1033</v>
      </c>
      <c r="D48" s="1">
        <v>45718</v>
      </c>
      <c r="E48" s="1">
        <v>45749</v>
      </c>
      <c r="F48" t="s">
        <v>1018</v>
      </c>
      <c r="G48" t="s">
        <v>1027</v>
      </c>
      <c r="H48" t="s">
        <v>1018</v>
      </c>
      <c r="I48" t="s">
        <v>1018</v>
      </c>
      <c r="J48" t="s">
        <v>1027</v>
      </c>
      <c r="K48">
        <v>0</v>
      </c>
      <c r="L48" t="s">
        <v>1028</v>
      </c>
      <c r="M48">
        <v>42</v>
      </c>
      <c r="N48" t="s">
        <v>1021</v>
      </c>
    </row>
    <row r="49" spans="1:14" x14ac:dyDescent="0.3">
      <c r="A49" t="s">
        <v>61</v>
      </c>
      <c r="B49" t="s">
        <v>1037</v>
      </c>
      <c r="C49" t="s">
        <v>1031</v>
      </c>
      <c r="D49" s="1">
        <v>45891</v>
      </c>
      <c r="E49" s="1">
        <v>45907</v>
      </c>
      <c r="F49" t="s">
        <v>1016</v>
      </c>
      <c r="G49" t="s">
        <v>1023</v>
      </c>
      <c r="H49" t="s">
        <v>1016</v>
      </c>
      <c r="I49" t="s">
        <v>1016</v>
      </c>
      <c r="J49" t="s">
        <v>1019</v>
      </c>
      <c r="K49">
        <v>148966</v>
      </c>
      <c r="L49" t="s">
        <v>1020</v>
      </c>
      <c r="M49">
        <v>55</v>
      </c>
      <c r="N49" t="s">
        <v>1036</v>
      </c>
    </row>
    <row r="50" spans="1:14" x14ac:dyDescent="0.3">
      <c r="A50" t="s">
        <v>62</v>
      </c>
      <c r="B50" t="s">
        <v>1029</v>
      </c>
      <c r="C50" t="s">
        <v>1033</v>
      </c>
      <c r="D50" s="1">
        <v>45756</v>
      </c>
      <c r="E50" s="1">
        <v>45772</v>
      </c>
      <c r="F50" t="s">
        <v>1016</v>
      </c>
      <c r="G50" t="s">
        <v>1017</v>
      </c>
      <c r="H50" t="s">
        <v>1018</v>
      </c>
      <c r="I50" t="s">
        <v>1018</v>
      </c>
      <c r="J50" t="s">
        <v>1019</v>
      </c>
      <c r="K50">
        <v>47051</v>
      </c>
      <c r="L50" t="s">
        <v>1024</v>
      </c>
      <c r="M50">
        <v>47</v>
      </c>
      <c r="N50" t="s">
        <v>1025</v>
      </c>
    </row>
    <row r="51" spans="1:14" x14ac:dyDescent="0.3">
      <c r="A51" t="s">
        <v>63</v>
      </c>
      <c r="B51" t="s">
        <v>1032</v>
      </c>
      <c r="C51" t="s">
        <v>1031</v>
      </c>
      <c r="D51" s="1">
        <v>45893</v>
      </c>
      <c r="E51" s="1">
        <v>45932</v>
      </c>
      <c r="F51" t="s">
        <v>1018</v>
      </c>
      <c r="G51" t="s">
        <v>1023</v>
      </c>
      <c r="H51" t="s">
        <v>1016</v>
      </c>
      <c r="I51" t="s">
        <v>1016</v>
      </c>
      <c r="J51" t="s">
        <v>1019</v>
      </c>
      <c r="K51">
        <v>124245</v>
      </c>
      <c r="L51" t="s">
        <v>1020</v>
      </c>
      <c r="M51">
        <v>74</v>
      </c>
      <c r="N51" t="s">
        <v>1021</v>
      </c>
    </row>
    <row r="52" spans="1:14" x14ac:dyDescent="0.3">
      <c r="A52" t="s">
        <v>64</v>
      </c>
      <c r="B52" t="s">
        <v>1029</v>
      </c>
      <c r="C52" t="s">
        <v>1022</v>
      </c>
      <c r="D52" s="1">
        <v>45965</v>
      </c>
      <c r="E52" s="1">
        <v>46009</v>
      </c>
      <c r="F52" t="s">
        <v>1018</v>
      </c>
      <c r="G52" t="s">
        <v>1017</v>
      </c>
      <c r="H52" t="s">
        <v>1018</v>
      </c>
      <c r="I52" t="s">
        <v>1018</v>
      </c>
      <c r="J52" t="s">
        <v>1019</v>
      </c>
      <c r="K52">
        <v>133660</v>
      </c>
      <c r="L52" t="s">
        <v>1020</v>
      </c>
      <c r="M52">
        <v>82</v>
      </c>
      <c r="N52" t="s">
        <v>1030</v>
      </c>
    </row>
    <row r="53" spans="1:14" x14ac:dyDescent="0.3">
      <c r="A53" t="s">
        <v>65</v>
      </c>
      <c r="B53" t="s">
        <v>1026</v>
      </c>
      <c r="C53" t="s">
        <v>1031</v>
      </c>
      <c r="D53" s="1">
        <v>45754</v>
      </c>
      <c r="E53" s="1">
        <v>45793</v>
      </c>
      <c r="F53" t="s">
        <v>1018</v>
      </c>
      <c r="G53" t="s">
        <v>1017</v>
      </c>
      <c r="H53" t="s">
        <v>1018</v>
      </c>
      <c r="I53" t="s">
        <v>1018</v>
      </c>
      <c r="J53" t="s">
        <v>1019</v>
      </c>
      <c r="K53">
        <v>115218</v>
      </c>
      <c r="L53" t="s">
        <v>1020</v>
      </c>
      <c r="M53">
        <v>57</v>
      </c>
      <c r="N53" t="s">
        <v>1030</v>
      </c>
    </row>
    <row r="54" spans="1:14" x14ac:dyDescent="0.3">
      <c r="A54" t="s">
        <v>66</v>
      </c>
      <c r="B54" t="s">
        <v>1014</v>
      </c>
      <c r="C54" t="s">
        <v>1033</v>
      </c>
      <c r="D54" s="1">
        <v>45972</v>
      </c>
      <c r="E54" s="1">
        <v>45986</v>
      </c>
      <c r="F54" t="s">
        <v>1016</v>
      </c>
      <c r="G54" t="s">
        <v>1023</v>
      </c>
      <c r="H54" t="s">
        <v>1016</v>
      </c>
      <c r="I54" t="s">
        <v>1016</v>
      </c>
      <c r="J54" t="s">
        <v>1019</v>
      </c>
      <c r="K54">
        <v>112626</v>
      </c>
      <c r="L54" t="s">
        <v>1020</v>
      </c>
      <c r="M54">
        <v>50</v>
      </c>
      <c r="N54" t="s">
        <v>1036</v>
      </c>
    </row>
    <row r="55" spans="1:14" x14ac:dyDescent="0.3">
      <c r="A55" t="s">
        <v>67</v>
      </c>
      <c r="B55" t="s">
        <v>1029</v>
      </c>
      <c r="C55" t="s">
        <v>1035</v>
      </c>
      <c r="D55" s="1">
        <v>45690</v>
      </c>
      <c r="E55" s="1">
        <v>45698</v>
      </c>
      <c r="F55" t="s">
        <v>1016</v>
      </c>
      <c r="G55" t="s">
        <v>1017</v>
      </c>
      <c r="H55" t="s">
        <v>1018</v>
      </c>
      <c r="I55" t="s">
        <v>1018</v>
      </c>
      <c r="J55" t="s">
        <v>1019</v>
      </c>
      <c r="K55">
        <v>99144</v>
      </c>
      <c r="L55" t="s">
        <v>1020</v>
      </c>
      <c r="M55">
        <v>20</v>
      </c>
      <c r="N55" t="s">
        <v>1025</v>
      </c>
    </row>
    <row r="56" spans="1:14" x14ac:dyDescent="0.3">
      <c r="A56" t="s">
        <v>68</v>
      </c>
      <c r="B56" t="s">
        <v>1029</v>
      </c>
      <c r="C56" t="s">
        <v>1015</v>
      </c>
      <c r="D56" s="1">
        <v>45719</v>
      </c>
      <c r="E56" s="1">
        <v>45746</v>
      </c>
      <c r="F56" t="s">
        <v>1016</v>
      </c>
      <c r="G56" t="s">
        <v>1023</v>
      </c>
      <c r="H56" t="s">
        <v>1016</v>
      </c>
      <c r="I56" t="s">
        <v>1018</v>
      </c>
      <c r="J56" t="s">
        <v>1027</v>
      </c>
      <c r="K56">
        <v>0</v>
      </c>
      <c r="L56" t="s">
        <v>1028</v>
      </c>
      <c r="M56">
        <v>66</v>
      </c>
      <c r="N56" t="s">
        <v>1030</v>
      </c>
    </row>
    <row r="57" spans="1:14" x14ac:dyDescent="0.3">
      <c r="A57" t="s">
        <v>69</v>
      </c>
      <c r="B57" t="s">
        <v>1026</v>
      </c>
      <c r="C57" t="s">
        <v>1033</v>
      </c>
      <c r="D57" s="1">
        <v>45702</v>
      </c>
      <c r="E57" s="1">
        <v>45731</v>
      </c>
      <c r="F57" t="s">
        <v>1016</v>
      </c>
      <c r="G57" t="s">
        <v>1023</v>
      </c>
      <c r="H57" t="s">
        <v>1016</v>
      </c>
      <c r="I57" t="s">
        <v>1016</v>
      </c>
      <c r="J57" t="s">
        <v>1019</v>
      </c>
      <c r="K57">
        <v>5515</v>
      </c>
      <c r="L57" t="s">
        <v>1024</v>
      </c>
      <c r="M57">
        <v>37</v>
      </c>
      <c r="N57" t="s">
        <v>1021</v>
      </c>
    </row>
    <row r="58" spans="1:14" x14ac:dyDescent="0.3">
      <c r="A58" t="s">
        <v>70</v>
      </c>
      <c r="B58" t="s">
        <v>1026</v>
      </c>
      <c r="C58" t="s">
        <v>1022</v>
      </c>
      <c r="D58" s="1">
        <v>45935</v>
      </c>
      <c r="E58" s="1">
        <v>45964</v>
      </c>
      <c r="F58" t="s">
        <v>1016</v>
      </c>
      <c r="G58" t="s">
        <v>1023</v>
      </c>
      <c r="H58" t="s">
        <v>1016</v>
      </c>
      <c r="I58" t="s">
        <v>1016</v>
      </c>
      <c r="J58" t="s">
        <v>1019</v>
      </c>
      <c r="K58">
        <v>115079</v>
      </c>
      <c r="L58" t="s">
        <v>1020</v>
      </c>
      <c r="M58">
        <v>47</v>
      </c>
      <c r="N58" t="s">
        <v>1036</v>
      </c>
    </row>
    <row r="59" spans="1:14" x14ac:dyDescent="0.3">
      <c r="A59" t="s">
        <v>71</v>
      </c>
      <c r="B59" t="s">
        <v>1037</v>
      </c>
      <c r="C59" t="s">
        <v>1022</v>
      </c>
      <c r="D59" s="1">
        <v>45840</v>
      </c>
      <c r="E59" s="1">
        <v>45869</v>
      </c>
      <c r="F59" t="s">
        <v>1016</v>
      </c>
      <c r="G59" t="s">
        <v>1023</v>
      </c>
      <c r="H59" t="s">
        <v>1016</v>
      </c>
      <c r="I59" t="s">
        <v>1016</v>
      </c>
      <c r="J59" t="s">
        <v>1019</v>
      </c>
      <c r="K59">
        <v>113465</v>
      </c>
      <c r="L59" t="s">
        <v>1020</v>
      </c>
      <c r="M59">
        <v>53</v>
      </c>
      <c r="N59" t="s">
        <v>1030</v>
      </c>
    </row>
    <row r="60" spans="1:14" x14ac:dyDescent="0.3">
      <c r="A60" t="s">
        <v>72</v>
      </c>
      <c r="B60" t="s">
        <v>1034</v>
      </c>
      <c r="C60" t="s">
        <v>1022</v>
      </c>
      <c r="D60" s="1">
        <v>45705</v>
      </c>
      <c r="E60" s="1">
        <v>45712</v>
      </c>
      <c r="F60" t="s">
        <v>1016</v>
      </c>
      <c r="G60" t="s">
        <v>1023</v>
      </c>
      <c r="H60" t="s">
        <v>1016</v>
      </c>
      <c r="I60" t="s">
        <v>1016</v>
      </c>
      <c r="J60" t="s">
        <v>1019</v>
      </c>
      <c r="K60">
        <v>162387</v>
      </c>
      <c r="L60" t="s">
        <v>1020</v>
      </c>
      <c r="M60">
        <v>34</v>
      </c>
      <c r="N60" t="s">
        <v>1021</v>
      </c>
    </row>
    <row r="61" spans="1:14" x14ac:dyDescent="0.3">
      <c r="A61" t="s">
        <v>73</v>
      </c>
      <c r="B61" t="s">
        <v>1034</v>
      </c>
      <c r="C61" t="s">
        <v>1035</v>
      </c>
      <c r="D61" s="1">
        <v>45979</v>
      </c>
      <c r="E61" s="1">
        <v>45980</v>
      </c>
      <c r="F61" t="s">
        <v>1016</v>
      </c>
      <c r="G61" t="s">
        <v>1023</v>
      </c>
      <c r="H61" t="s">
        <v>1016</v>
      </c>
      <c r="I61" t="s">
        <v>1018</v>
      </c>
      <c r="J61" t="s">
        <v>1027</v>
      </c>
      <c r="K61">
        <v>0</v>
      </c>
      <c r="L61" t="s">
        <v>1028</v>
      </c>
      <c r="M61">
        <v>33</v>
      </c>
      <c r="N61" t="s">
        <v>1025</v>
      </c>
    </row>
    <row r="62" spans="1:14" x14ac:dyDescent="0.3">
      <c r="A62" t="s">
        <v>74</v>
      </c>
      <c r="B62" t="s">
        <v>1032</v>
      </c>
      <c r="C62" t="s">
        <v>1022</v>
      </c>
      <c r="D62" s="1">
        <v>45749</v>
      </c>
      <c r="E62" s="1">
        <v>45791</v>
      </c>
      <c r="F62" t="s">
        <v>1018</v>
      </c>
      <c r="G62" t="s">
        <v>1027</v>
      </c>
      <c r="H62" t="s">
        <v>1018</v>
      </c>
      <c r="I62" t="s">
        <v>1018</v>
      </c>
      <c r="J62" t="s">
        <v>1027</v>
      </c>
      <c r="K62">
        <v>0</v>
      </c>
      <c r="L62" t="s">
        <v>1028</v>
      </c>
      <c r="M62">
        <v>71</v>
      </c>
      <c r="N62" t="s">
        <v>1021</v>
      </c>
    </row>
    <row r="63" spans="1:14" x14ac:dyDescent="0.3">
      <c r="A63" t="s">
        <v>75</v>
      </c>
      <c r="B63" t="s">
        <v>1034</v>
      </c>
      <c r="C63" t="s">
        <v>1015</v>
      </c>
      <c r="D63" s="1">
        <v>45870</v>
      </c>
      <c r="E63" s="1">
        <v>45878</v>
      </c>
      <c r="F63" t="s">
        <v>1016</v>
      </c>
      <c r="G63" t="s">
        <v>1023</v>
      </c>
      <c r="H63" t="s">
        <v>1016</v>
      </c>
      <c r="I63" t="s">
        <v>1018</v>
      </c>
      <c r="J63" t="s">
        <v>1027</v>
      </c>
      <c r="K63">
        <v>0</v>
      </c>
      <c r="L63" t="s">
        <v>1028</v>
      </c>
      <c r="M63">
        <v>42</v>
      </c>
      <c r="N63" t="s">
        <v>1030</v>
      </c>
    </row>
    <row r="64" spans="1:14" x14ac:dyDescent="0.3">
      <c r="A64" t="s">
        <v>76</v>
      </c>
      <c r="B64" t="s">
        <v>1014</v>
      </c>
      <c r="C64" t="s">
        <v>1031</v>
      </c>
      <c r="D64" s="1">
        <v>45744</v>
      </c>
      <c r="E64" s="1">
        <v>45752</v>
      </c>
      <c r="F64" t="s">
        <v>1016</v>
      </c>
      <c r="G64" t="s">
        <v>1023</v>
      </c>
      <c r="H64" t="s">
        <v>1016</v>
      </c>
      <c r="I64" t="s">
        <v>1016</v>
      </c>
      <c r="J64" t="s">
        <v>1019</v>
      </c>
      <c r="K64">
        <v>158769</v>
      </c>
      <c r="L64" t="s">
        <v>1020</v>
      </c>
      <c r="M64">
        <v>26</v>
      </c>
      <c r="N64" t="s">
        <v>1025</v>
      </c>
    </row>
    <row r="65" spans="1:14" x14ac:dyDescent="0.3">
      <c r="A65" t="s">
        <v>77</v>
      </c>
      <c r="B65" t="s">
        <v>1029</v>
      </c>
      <c r="C65" t="s">
        <v>1015</v>
      </c>
      <c r="D65" s="1">
        <v>45812</v>
      </c>
      <c r="E65" s="1">
        <v>45830</v>
      </c>
      <c r="F65" t="s">
        <v>1016</v>
      </c>
      <c r="G65" t="s">
        <v>1027</v>
      </c>
      <c r="H65" t="s">
        <v>1018</v>
      </c>
      <c r="I65" t="s">
        <v>1018</v>
      </c>
      <c r="J65" t="s">
        <v>1027</v>
      </c>
      <c r="K65">
        <v>0</v>
      </c>
      <c r="L65" t="s">
        <v>1028</v>
      </c>
      <c r="M65">
        <v>58</v>
      </c>
      <c r="N65" t="s">
        <v>1030</v>
      </c>
    </row>
    <row r="66" spans="1:14" x14ac:dyDescent="0.3">
      <c r="A66" t="s">
        <v>78</v>
      </c>
      <c r="B66" t="s">
        <v>1014</v>
      </c>
      <c r="C66" t="s">
        <v>1035</v>
      </c>
      <c r="D66" s="1">
        <v>45769</v>
      </c>
      <c r="E66" s="1">
        <v>45775</v>
      </c>
      <c r="F66" t="s">
        <v>1016</v>
      </c>
      <c r="G66" t="s">
        <v>1023</v>
      </c>
      <c r="H66" t="s">
        <v>1016</v>
      </c>
      <c r="I66" t="s">
        <v>1018</v>
      </c>
      <c r="J66" t="s">
        <v>1027</v>
      </c>
      <c r="K66">
        <v>0</v>
      </c>
      <c r="L66" t="s">
        <v>1028</v>
      </c>
      <c r="M66">
        <v>23</v>
      </c>
      <c r="N66" t="s">
        <v>1036</v>
      </c>
    </row>
    <row r="67" spans="1:14" x14ac:dyDescent="0.3">
      <c r="A67" t="s">
        <v>79</v>
      </c>
      <c r="B67" t="s">
        <v>1037</v>
      </c>
      <c r="C67" t="s">
        <v>1035</v>
      </c>
      <c r="D67" s="1">
        <v>45753</v>
      </c>
      <c r="E67" s="1">
        <v>45794</v>
      </c>
      <c r="F67" t="s">
        <v>1018</v>
      </c>
      <c r="G67" t="s">
        <v>1023</v>
      </c>
      <c r="H67" t="s">
        <v>1016</v>
      </c>
      <c r="I67" t="s">
        <v>1016</v>
      </c>
      <c r="J67" t="s">
        <v>1019</v>
      </c>
      <c r="K67">
        <v>51975</v>
      </c>
      <c r="L67" t="s">
        <v>1020</v>
      </c>
      <c r="M67">
        <v>69</v>
      </c>
      <c r="N67" t="s">
        <v>1021</v>
      </c>
    </row>
    <row r="68" spans="1:14" x14ac:dyDescent="0.3">
      <c r="A68" t="s">
        <v>80</v>
      </c>
      <c r="B68" t="s">
        <v>1034</v>
      </c>
      <c r="C68" t="s">
        <v>1022</v>
      </c>
      <c r="D68" s="1">
        <v>45905</v>
      </c>
      <c r="E68" s="1">
        <v>45934</v>
      </c>
      <c r="F68" t="s">
        <v>1016</v>
      </c>
      <c r="G68" t="s">
        <v>1023</v>
      </c>
      <c r="H68" t="s">
        <v>1016</v>
      </c>
      <c r="I68" t="s">
        <v>1016</v>
      </c>
      <c r="J68" t="s">
        <v>1019</v>
      </c>
      <c r="K68">
        <v>68939</v>
      </c>
      <c r="L68" t="s">
        <v>1020</v>
      </c>
      <c r="M68">
        <v>36</v>
      </c>
      <c r="N68" t="s">
        <v>1025</v>
      </c>
    </row>
    <row r="69" spans="1:14" x14ac:dyDescent="0.3">
      <c r="A69" t="s">
        <v>81</v>
      </c>
      <c r="B69" t="s">
        <v>1037</v>
      </c>
      <c r="C69" t="s">
        <v>1035</v>
      </c>
      <c r="D69" s="1">
        <v>45744</v>
      </c>
      <c r="E69" s="1">
        <v>45762</v>
      </c>
      <c r="F69" t="s">
        <v>1016</v>
      </c>
      <c r="G69" t="s">
        <v>1027</v>
      </c>
      <c r="H69" t="s">
        <v>1018</v>
      </c>
      <c r="I69" t="s">
        <v>1018</v>
      </c>
      <c r="J69" t="s">
        <v>1027</v>
      </c>
      <c r="K69">
        <v>0</v>
      </c>
      <c r="L69" t="s">
        <v>1028</v>
      </c>
      <c r="M69">
        <v>40</v>
      </c>
      <c r="N69" t="s">
        <v>1025</v>
      </c>
    </row>
    <row r="70" spans="1:14" x14ac:dyDescent="0.3">
      <c r="A70" t="s">
        <v>82</v>
      </c>
      <c r="B70" t="s">
        <v>1026</v>
      </c>
      <c r="C70" t="s">
        <v>1022</v>
      </c>
      <c r="D70" s="1">
        <v>45840</v>
      </c>
      <c r="E70" s="1">
        <v>45849</v>
      </c>
      <c r="F70" t="s">
        <v>1016</v>
      </c>
      <c r="G70" t="s">
        <v>1027</v>
      </c>
      <c r="H70" t="s">
        <v>1018</v>
      </c>
      <c r="I70" t="s">
        <v>1018</v>
      </c>
      <c r="J70" t="s">
        <v>1027</v>
      </c>
      <c r="K70">
        <v>0</v>
      </c>
      <c r="L70" t="s">
        <v>1028</v>
      </c>
      <c r="M70">
        <v>17</v>
      </c>
      <c r="N70" t="s">
        <v>1030</v>
      </c>
    </row>
    <row r="71" spans="1:14" x14ac:dyDescent="0.3">
      <c r="A71" t="s">
        <v>83</v>
      </c>
      <c r="B71" t="s">
        <v>1026</v>
      </c>
      <c r="C71" t="s">
        <v>1035</v>
      </c>
      <c r="D71" s="1">
        <v>45874</v>
      </c>
      <c r="E71" s="1">
        <v>45884</v>
      </c>
      <c r="F71" t="s">
        <v>1016</v>
      </c>
      <c r="G71" t="s">
        <v>1027</v>
      </c>
      <c r="H71" t="s">
        <v>1018</v>
      </c>
      <c r="I71" t="s">
        <v>1018</v>
      </c>
      <c r="J71" t="s">
        <v>1027</v>
      </c>
      <c r="K71">
        <v>0</v>
      </c>
      <c r="L71" t="s">
        <v>1028</v>
      </c>
      <c r="M71">
        <v>49</v>
      </c>
      <c r="N71" t="s">
        <v>1036</v>
      </c>
    </row>
    <row r="72" spans="1:14" x14ac:dyDescent="0.3">
      <c r="A72" t="s">
        <v>84</v>
      </c>
      <c r="B72" t="s">
        <v>1034</v>
      </c>
      <c r="C72" t="s">
        <v>1031</v>
      </c>
      <c r="D72" s="1">
        <v>45815</v>
      </c>
      <c r="E72" s="1">
        <v>45819</v>
      </c>
      <c r="F72" t="s">
        <v>1016</v>
      </c>
      <c r="G72" t="s">
        <v>1027</v>
      </c>
      <c r="H72" t="s">
        <v>1018</v>
      </c>
      <c r="I72" t="s">
        <v>1018</v>
      </c>
      <c r="J72" t="s">
        <v>1027</v>
      </c>
      <c r="K72">
        <v>0</v>
      </c>
      <c r="L72" t="s">
        <v>1028</v>
      </c>
      <c r="M72">
        <v>34</v>
      </c>
      <c r="N72" t="s">
        <v>1030</v>
      </c>
    </row>
    <row r="73" spans="1:14" x14ac:dyDescent="0.3">
      <c r="A73" t="s">
        <v>85</v>
      </c>
      <c r="B73" t="s">
        <v>1037</v>
      </c>
      <c r="C73" t="s">
        <v>1033</v>
      </c>
      <c r="D73" s="1">
        <v>45935</v>
      </c>
      <c r="E73" s="1">
        <v>45969</v>
      </c>
      <c r="F73" t="s">
        <v>1018</v>
      </c>
      <c r="G73" t="s">
        <v>1023</v>
      </c>
      <c r="H73" t="s">
        <v>1016</v>
      </c>
      <c r="I73" t="s">
        <v>1018</v>
      </c>
      <c r="J73" t="s">
        <v>1027</v>
      </c>
      <c r="K73">
        <v>0</v>
      </c>
      <c r="L73" t="s">
        <v>1028</v>
      </c>
      <c r="M73">
        <v>62</v>
      </c>
      <c r="N73" t="s">
        <v>1030</v>
      </c>
    </row>
    <row r="74" spans="1:14" x14ac:dyDescent="0.3">
      <c r="A74" t="s">
        <v>86</v>
      </c>
      <c r="B74" t="s">
        <v>1037</v>
      </c>
      <c r="C74" t="s">
        <v>1033</v>
      </c>
      <c r="D74" s="1">
        <v>45949</v>
      </c>
      <c r="E74" s="1">
        <v>45974</v>
      </c>
      <c r="F74" t="s">
        <v>1016</v>
      </c>
      <c r="G74" t="s">
        <v>1023</v>
      </c>
      <c r="H74" t="s">
        <v>1016</v>
      </c>
      <c r="I74" t="s">
        <v>1016</v>
      </c>
      <c r="J74" t="s">
        <v>1019</v>
      </c>
      <c r="K74">
        <v>89811</v>
      </c>
      <c r="L74" t="s">
        <v>1024</v>
      </c>
      <c r="M74">
        <v>60</v>
      </c>
      <c r="N74" t="s">
        <v>1021</v>
      </c>
    </row>
    <row r="75" spans="1:14" x14ac:dyDescent="0.3">
      <c r="A75" t="s">
        <v>87</v>
      </c>
      <c r="B75" t="s">
        <v>1032</v>
      </c>
      <c r="C75" t="s">
        <v>1031</v>
      </c>
      <c r="D75" s="1">
        <v>45692</v>
      </c>
      <c r="E75" s="1">
        <v>45728</v>
      </c>
      <c r="F75" t="s">
        <v>1018</v>
      </c>
      <c r="G75" t="s">
        <v>1023</v>
      </c>
      <c r="H75" t="s">
        <v>1016</v>
      </c>
      <c r="I75" t="s">
        <v>1018</v>
      </c>
      <c r="J75" t="s">
        <v>1027</v>
      </c>
      <c r="K75">
        <v>0</v>
      </c>
      <c r="L75" t="s">
        <v>1028</v>
      </c>
      <c r="M75">
        <v>73</v>
      </c>
      <c r="N75" t="s">
        <v>1030</v>
      </c>
    </row>
    <row r="76" spans="1:14" x14ac:dyDescent="0.3">
      <c r="A76" t="s">
        <v>88</v>
      </c>
      <c r="B76" t="s">
        <v>1014</v>
      </c>
      <c r="C76" t="s">
        <v>1022</v>
      </c>
      <c r="D76" s="1">
        <v>45835</v>
      </c>
      <c r="E76" s="1">
        <v>45837</v>
      </c>
      <c r="F76" t="s">
        <v>1016</v>
      </c>
      <c r="G76" t="s">
        <v>1017</v>
      </c>
      <c r="H76" t="s">
        <v>1018</v>
      </c>
      <c r="I76" t="s">
        <v>1018</v>
      </c>
      <c r="J76" t="s">
        <v>1019</v>
      </c>
      <c r="K76">
        <v>134497</v>
      </c>
      <c r="L76" t="s">
        <v>1020</v>
      </c>
      <c r="M76">
        <v>35</v>
      </c>
      <c r="N76" t="s">
        <v>1036</v>
      </c>
    </row>
    <row r="77" spans="1:14" x14ac:dyDescent="0.3">
      <c r="A77" t="s">
        <v>89</v>
      </c>
      <c r="B77" t="s">
        <v>1014</v>
      </c>
      <c r="C77" t="s">
        <v>1035</v>
      </c>
      <c r="D77" s="1">
        <v>45822</v>
      </c>
      <c r="E77" s="1">
        <v>45851</v>
      </c>
      <c r="F77" t="s">
        <v>1016</v>
      </c>
      <c r="G77" t="s">
        <v>1017</v>
      </c>
      <c r="H77" t="s">
        <v>1018</v>
      </c>
      <c r="I77" t="s">
        <v>1018</v>
      </c>
      <c r="J77" t="s">
        <v>1019</v>
      </c>
      <c r="K77">
        <v>105569</v>
      </c>
      <c r="L77" t="s">
        <v>1020</v>
      </c>
      <c r="M77">
        <v>69</v>
      </c>
      <c r="N77" t="s">
        <v>1025</v>
      </c>
    </row>
    <row r="78" spans="1:14" x14ac:dyDescent="0.3">
      <c r="A78" t="s">
        <v>90</v>
      </c>
      <c r="B78" t="s">
        <v>1037</v>
      </c>
      <c r="C78" t="s">
        <v>1031</v>
      </c>
      <c r="D78" s="1">
        <v>45720</v>
      </c>
      <c r="E78" s="1">
        <v>45756</v>
      </c>
      <c r="F78" t="s">
        <v>1018</v>
      </c>
      <c r="G78" t="s">
        <v>1023</v>
      </c>
      <c r="H78" t="s">
        <v>1016</v>
      </c>
      <c r="I78" t="s">
        <v>1016</v>
      </c>
      <c r="J78" t="s">
        <v>1019</v>
      </c>
      <c r="K78">
        <v>110372</v>
      </c>
      <c r="L78" t="s">
        <v>1020</v>
      </c>
      <c r="M78">
        <v>48</v>
      </c>
      <c r="N78" t="s">
        <v>1021</v>
      </c>
    </row>
    <row r="79" spans="1:14" x14ac:dyDescent="0.3">
      <c r="A79" t="s">
        <v>91</v>
      </c>
      <c r="B79" t="s">
        <v>1032</v>
      </c>
      <c r="C79" t="s">
        <v>1033</v>
      </c>
      <c r="D79" s="1">
        <v>45889</v>
      </c>
      <c r="E79" s="1">
        <v>45911</v>
      </c>
      <c r="F79" t="s">
        <v>1016</v>
      </c>
      <c r="G79" t="s">
        <v>1017</v>
      </c>
      <c r="H79" t="s">
        <v>1018</v>
      </c>
      <c r="I79" t="s">
        <v>1018</v>
      </c>
      <c r="J79" t="s">
        <v>1019</v>
      </c>
      <c r="K79">
        <v>132921</v>
      </c>
      <c r="L79" t="s">
        <v>1020</v>
      </c>
      <c r="M79">
        <v>33</v>
      </c>
      <c r="N79" t="s">
        <v>1021</v>
      </c>
    </row>
    <row r="80" spans="1:14" x14ac:dyDescent="0.3">
      <c r="A80" t="s">
        <v>92</v>
      </c>
      <c r="B80" t="s">
        <v>1032</v>
      </c>
      <c r="C80" t="s">
        <v>1022</v>
      </c>
      <c r="D80" s="1">
        <v>46002</v>
      </c>
      <c r="E80" s="1">
        <v>46023</v>
      </c>
      <c r="F80" t="s">
        <v>1016</v>
      </c>
      <c r="G80" t="s">
        <v>1023</v>
      </c>
      <c r="H80" t="s">
        <v>1016</v>
      </c>
      <c r="I80" t="s">
        <v>1016</v>
      </c>
      <c r="J80" t="s">
        <v>1019</v>
      </c>
      <c r="K80">
        <v>43889</v>
      </c>
      <c r="L80" t="s">
        <v>1020</v>
      </c>
      <c r="M80">
        <v>44</v>
      </c>
      <c r="N80" t="s">
        <v>1025</v>
      </c>
    </row>
    <row r="81" spans="1:14" x14ac:dyDescent="0.3">
      <c r="A81" t="s">
        <v>93</v>
      </c>
      <c r="B81" t="s">
        <v>1034</v>
      </c>
      <c r="C81" t="s">
        <v>1033</v>
      </c>
      <c r="D81" s="1">
        <v>45964</v>
      </c>
      <c r="E81" s="1">
        <v>45973</v>
      </c>
      <c r="F81" t="s">
        <v>1016</v>
      </c>
      <c r="G81" t="s">
        <v>1023</v>
      </c>
      <c r="H81" t="s">
        <v>1016</v>
      </c>
      <c r="I81" t="s">
        <v>1016</v>
      </c>
      <c r="J81" t="s">
        <v>1019</v>
      </c>
      <c r="K81">
        <v>72990</v>
      </c>
      <c r="L81" t="s">
        <v>1024</v>
      </c>
      <c r="M81">
        <v>25</v>
      </c>
      <c r="N81" t="s">
        <v>1025</v>
      </c>
    </row>
    <row r="82" spans="1:14" x14ac:dyDescent="0.3">
      <c r="A82" t="s">
        <v>94</v>
      </c>
      <c r="B82" t="s">
        <v>1037</v>
      </c>
      <c r="C82" t="s">
        <v>1022</v>
      </c>
      <c r="D82" s="1">
        <v>45984</v>
      </c>
      <c r="E82" s="1">
        <v>46006</v>
      </c>
      <c r="F82" t="s">
        <v>1016</v>
      </c>
      <c r="G82" t="s">
        <v>1017</v>
      </c>
      <c r="H82" t="s">
        <v>1018</v>
      </c>
      <c r="I82" t="s">
        <v>1018</v>
      </c>
      <c r="J82" t="s">
        <v>1019</v>
      </c>
      <c r="K82">
        <v>183307</v>
      </c>
      <c r="L82" t="s">
        <v>1020</v>
      </c>
      <c r="M82">
        <v>27</v>
      </c>
      <c r="N82" t="s">
        <v>1021</v>
      </c>
    </row>
    <row r="83" spans="1:14" x14ac:dyDescent="0.3">
      <c r="A83" t="s">
        <v>95</v>
      </c>
      <c r="B83" t="s">
        <v>1032</v>
      </c>
      <c r="C83" t="s">
        <v>1031</v>
      </c>
      <c r="D83" s="1">
        <v>45949</v>
      </c>
      <c r="E83" s="1">
        <v>45958</v>
      </c>
      <c r="F83" t="s">
        <v>1016</v>
      </c>
      <c r="G83" t="s">
        <v>1017</v>
      </c>
      <c r="H83" t="s">
        <v>1018</v>
      </c>
      <c r="I83" t="s">
        <v>1018</v>
      </c>
      <c r="J83" t="s">
        <v>1019</v>
      </c>
      <c r="K83">
        <v>157111</v>
      </c>
      <c r="L83" t="s">
        <v>1024</v>
      </c>
      <c r="M83">
        <v>16</v>
      </c>
      <c r="N83" t="s">
        <v>1025</v>
      </c>
    </row>
    <row r="84" spans="1:14" x14ac:dyDescent="0.3">
      <c r="A84" t="s">
        <v>96</v>
      </c>
      <c r="B84" t="s">
        <v>1034</v>
      </c>
      <c r="C84" t="s">
        <v>1033</v>
      </c>
      <c r="D84" s="1">
        <v>46017</v>
      </c>
      <c r="E84" s="1">
        <v>46049</v>
      </c>
      <c r="F84" t="s">
        <v>1018</v>
      </c>
      <c r="G84" t="s">
        <v>1017</v>
      </c>
      <c r="H84" t="s">
        <v>1018</v>
      </c>
      <c r="I84" t="s">
        <v>1018</v>
      </c>
      <c r="J84" t="s">
        <v>1019</v>
      </c>
      <c r="K84">
        <v>172461</v>
      </c>
      <c r="L84" t="s">
        <v>1020</v>
      </c>
      <c r="M84">
        <v>59</v>
      </c>
      <c r="N84" t="s">
        <v>1021</v>
      </c>
    </row>
    <row r="85" spans="1:14" x14ac:dyDescent="0.3">
      <c r="A85" t="s">
        <v>97</v>
      </c>
      <c r="B85" t="s">
        <v>1034</v>
      </c>
      <c r="C85" t="s">
        <v>1033</v>
      </c>
      <c r="D85" s="1">
        <v>46004</v>
      </c>
      <c r="E85" s="1">
        <v>46047</v>
      </c>
      <c r="F85" t="s">
        <v>1018</v>
      </c>
      <c r="G85" t="s">
        <v>1023</v>
      </c>
      <c r="H85" t="s">
        <v>1016</v>
      </c>
      <c r="I85" t="s">
        <v>1016</v>
      </c>
      <c r="J85" t="s">
        <v>1019</v>
      </c>
      <c r="K85">
        <v>115249</v>
      </c>
      <c r="L85" t="s">
        <v>1020</v>
      </c>
      <c r="M85">
        <v>55</v>
      </c>
      <c r="N85" t="s">
        <v>1025</v>
      </c>
    </row>
    <row r="86" spans="1:14" x14ac:dyDescent="0.3">
      <c r="A86" t="s">
        <v>98</v>
      </c>
      <c r="B86" t="s">
        <v>1037</v>
      </c>
      <c r="C86" t="s">
        <v>1031</v>
      </c>
      <c r="D86" s="1">
        <v>45905</v>
      </c>
      <c r="E86" s="1">
        <v>45921</v>
      </c>
      <c r="F86" t="s">
        <v>1016</v>
      </c>
      <c r="G86" t="s">
        <v>1017</v>
      </c>
      <c r="H86" t="s">
        <v>1018</v>
      </c>
      <c r="I86" t="s">
        <v>1018</v>
      </c>
      <c r="J86" t="s">
        <v>1019</v>
      </c>
      <c r="K86">
        <v>147734</v>
      </c>
      <c r="L86" t="s">
        <v>1020</v>
      </c>
      <c r="M86">
        <v>33</v>
      </c>
      <c r="N86" t="s">
        <v>1025</v>
      </c>
    </row>
    <row r="87" spans="1:14" x14ac:dyDescent="0.3">
      <c r="A87" t="s">
        <v>99</v>
      </c>
      <c r="B87" t="s">
        <v>1014</v>
      </c>
      <c r="C87" t="s">
        <v>1035</v>
      </c>
      <c r="D87" s="1">
        <v>45714</v>
      </c>
      <c r="E87" s="1">
        <v>45735</v>
      </c>
      <c r="F87" t="s">
        <v>1016</v>
      </c>
      <c r="G87" t="s">
        <v>1017</v>
      </c>
      <c r="H87" t="s">
        <v>1018</v>
      </c>
      <c r="I87" t="s">
        <v>1018</v>
      </c>
      <c r="J87" t="s">
        <v>1019</v>
      </c>
      <c r="K87">
        <v>164919</v>
      </c>
      <c r="L87" t="s">
        <v>1020</v>
      </c>
      <c r="M87">
        <v>44</v>
      </c>
      <c r="N87" t="s">
        <v>1021</v>
      </c>
    </row>
    <row r="88" spans="1:14" x14ac:dyDescent="0.3">
      <c r="A88" t="s">
        <v>100</v>
      </c>
      <c r="B88" t="s">
        <v>1034</v>
      </c>
      <c r="C88" t="s">
        <v>1035</v>
      </c>
      <c r="D88" s="1">
        <v>45843</v>
      </c>
      <c r="E88" s="1">
        <v>45851</v>
      </c>
      <c r="F88" t="s">
        <v>1016</v>
      </c>
      <c r="G88" t="s">
        <v>1027</v>
      </c>
      <c r="H88" t="s">
        <v>1018</v>
      </c>
      <c r="I88" t="s">
        <v>1018</v>
      </c>
      <c r="J88" t="s">
        <v>1027</v>
      </c>
      <c r="K88">
        <v>0</v>
      </c>
      <c r="L88" t="s">
        <v>1028</v>
      </c>
      <c r="M88">
        <v>31</v>
      </c>
      <c r="N88" t="s">
        <v>1036</v>
      </c>
    </row>
    <row r="89" spans="1:14" x14ac:dyDescent="0.3">
      <c r="A89" t="s">
        <v>101</v>
      </c>
      <c r="B89" t="s">
        <v>1034</v>
      </c>
      <c r="C89" t="s">
        <v>1015</v>
      </c>
      <c r="D89" s="1">
        <v>45702</v>
      </c>
      <c r="E89" s="1">
        <v>45745</v>
      </c>
      <c r="F89" t="s">
        <v>1018</v>
      </c>
      <c r="G89" t="s">
        <v>1027</v>
      </c>
      <c r="H89" t="s">
        <v>1018</v>
      </c>
      <c r="I89" t="s">
        <v>1018</v>
      </c>
      <c r="J89" t="s">
        <v>1027</v>
      </c>
      <c r="K89">
        <v>0</v>
      </c>
      <c r="L89" t="s">
        <v>1028</v>
      </c>
      <c r="M89">
        <v>48</v>
      </c>
      <c r="N89" t="s">
        <v>1021</v>
      </c>
    </row>
    <row r="90" spans="1:14" x14ac:dyDescent="0.3">
      <c r="A90" t="s">
        <v>102</v>
      </c>
      <c r="B90" t="s">
        <v>1032</v>
      </c>
      <c r="C90" t="s">
        <v>1035</v>
      </c>
      <c r="D90" s="1">
        <v>45772</v>
      </c>
      <c r="E90" s="1">
        <v>45785</v>
      </c>
      <c r="F90" t="s">
        <v>1016</v>
      </c>
      <c r="G90" t="s">
        <v>1017</v>
      </c>
      <c r="H90" t="s">
        <v>1018</v>
      </c>
      <c r="I90" t="s">
        <v>1018</v>
      </c>
      <c r="J90" t="s">
        <v>1019</v>
      </c>
      <c r="K90">
        <v>52592</v>
      </c>
      <c r="L90" t="s">
        <v>1020</v>
      </c>
      <c r="M90">
        <v>43</v>
      </c>
      <c r="N90" t="s">
        <v>1025</v>
      </c>
    </row>
    <row r="91" spans="1:14" x14ac:dyDescent="0.3">
      <c r="A91" t="s">
        <v>103</v>
      </c>
      <c r="B91" t="s">
        <v>1029</v>
      </c>
      <c r="C91" t="s">
        <v>1022</v>
      </c>
      <c r="D91" s="1">
        <v>45761</v>
      </c>
      <c r="E91" s="1">
        <v>45797</v>
      </c>
      <c r="F91" t="s">
        <v>1018</v>
      </c>
      <c r="G91" t="s">
        <v>1017</v>
      </c>
      <c r="H91" t="s">
        <v>1018</v>
      </c>
      <c r="I91" t="s">
        <v>1018</v>
      </c>
      <c r="J91" t="s">
        <v>1019</v>
      </c>
      <c r="K91">
        <v>104003</v>
      </c>
      <c r="L91" t="s">
        <v>1020</v>
      </c>
      <c r="M91">
        <v>59</v>
      </c>
      <c r="N91" t="s">
        <v>1036</v>
      </c>
    </row>
    <row r="92" spans="1:14" x14ac:dyDescent="0.3">
      <c r="A92" t="s">
        <v>104</v>
      </c>
      <c r="B92" t="s">
        <v>1029</v>
      </c>
      <c r="C92" t="s">
        <v>1031</v>
      </c>
      <c r="D92" s="1">
        <v>45741</v>
      </c>
      <c r="E92" s="1">
        <v>45747</v>
      </c>
      <c r="F92" t="s">
        <v>1016</v>
      </c>
      <c r="G92" t="s">
        <v>1027</v>
      </c>
      <c r="H92" t="s">
        <v>1018</v>
      </c>
      <c r="I92" t="s">
        <v>1018</v>
      </c>
      <c r="J92" t="s">
        <v>1027</v>
      </c>
      <c r="K92">
        <v>0</v>
      </c>
      <c r="L92" t="s">
        <v>1028</v>
      </c>
      <c r="M92">
        <v>35</v>
      </c>
      <c r="N92" t="s">
        <v>1025</v>
      </c>
    </row>
    <row r="93" spans="1:14" x14ac:dyDescent="0.3">
      <c r="A93" t="s">
        <v>105</v>
      </c>
      <c r="B93" t="s">
        <v>1029</v>
      </c>
      <c r="C93" t="s">
        <v>1033</v>
      </c>
      <c r="D93" s="1">
        <v>45874</v>
      </c>
      <c r="E93" s="1">
        <v>45889</v>
      </c>
      <c r="F93" t="s">
        <v>1016</v>
      </c>
      <c r="G93" t="s">
        <v>1017</v>
      </c>
      <c r="H93" t="s">
        <v>1018</v>
      </c>
      <c r="I93" t="s">
        <v>1018</v>
      </c>
      <c r="J93" t="s">
        <v>1019</v>
      </c>
      <c r="K93">
        <v>107336</v>
      </c>
      <c r="L93" t="s">
        <v>1020</v>
      </c>
      <c r="M93">
        <v>35</v>
      </c>
      <c r="N93" t="s">
        <v>1025</v>
      </c>
    </row>
    <row r="94" spans="1:14" x14ac:dyDescent="0.3">
      <c r="A94" t="s">
        <v>106</v>
      </c>
      <c r="B94" t="s">
        <v>1034</v>
      </c>
      <c r="C94" t="s">
        <v>1035</v>
      </c>
      <c r="D94" s="1">
        <v>45797</v>
      </c>
      <c r="E94" s="1">
        <v>45804</v>
      </c>
      <c r="F94" t="s">
        <v>1016</v>
      </c>
      <c r="G94" t="s">
        <v>1023</v>
      </c>
      <c r="H94" t="s">
        <v>1016</v>
      </c>
      <c r="I94" t="s">
        <v>1018</v>
      </c>
      <c r="J94" t="s">
        <v>1027</v>
      </c>
      <c r="K94">
        <v>0</v>
      </c>
      <c r="L94" t="s">
        <v>1028</v>
      </c>
      <c r="M94">
        <v>23</v>
      </c>
      <c r="N94" t="s">
        <v>1025</v>
      </c>
    </row>
    <row r="95" spans="1:14" x14ac:dyDescent="0.3">
      <c r="A95" t="s">
        <v>107</v>
      </c>
      <c r="B95" t="s">
        <v>1037</v>
      </c>
      <c r="C95" t="s">
        <v>1033</v>
      </c>
      <c r="D95" s="1">
        <v>45766</v>
      </c>
      <c r="E95" s="1">
        <v>45788</v>
      </c>
      <c r="F95" t="s">
        <v>1016</v>
      </c>
      <c r="G95" t="s">
        <v>1017</v>
      </c>
      <c r="H95" t="s">
        <v>1018</v>
      </c>
      <c r="I95" t="s">
        <v>1018</v>
      </c>
      <c r="J95" t="s">
        <v>1019</v>
      </c>
      <c r="K95">
        <v>43346</v>
      </c>
      <c r="L95" t="s">
        <v>1020</v>
      </c>
      <c r="M95">
        <v>33</v>
      </c>
      <c r="N95" t="s">
        <v>1025</v>
      </c>
    </row>
    <row r="96" spans="1:14" x14ac:dyDescent="0.3">
      <c r="A96" t="s">
        <v>108</v>
      </c>
      <c r="B96" t="s">
        <v>1026</v>
      </c>
      <c r="C96" t="s">
        <v>1015</v>
      </c>
      <c r="D96" s="1">
        <v>46013</v>
      </c>
      <c r="E96" s="1">
        <v>46043</v>
      </c>
      <c r="F96" t="s">
        <v>1016</v>
      </c>
      <c r="G96" t="s">
        <v>1027</v>
      </c>
      <c r="H96" t="s">
        <v>1018</v>
      </c>
      <c r="I96" t="s">
        <v>1018</v>
      </c>
      <c r="J96" t="s">
        <v>1027</v>
      </c>
      <c r="K96">
        <v>0</v>
      </c>
      <c r="L96" t="s">
        <v>1028</v>
      </c>
      <c r="M96">
        <v>49</v>
      </c>
      <c r="N96" t="s">
        <v>1025</v>
      </c>
    </row>
    <row r="97" spans="1:14" x14ac:dyDescent="0.3">
      <c r="A97" t="s">
        <v>109</v>
      </c>
      <c r="B97" t="s">
        <v>1029</v>
      </c>
      <c r="C97" t="s">
        <v>1022</v>
      </c>
      <c r="D97" s="1">
        <v>45941</v>
      </c>
      <c r="E97" s="1">
        <v>45985</v>
      </c>
      <c r="F97" t="s">
        <v>1018</v>
      </c>
      <c r="G97" t="s">
        <v>1027</v>
      </c>
      <c r="H97" t="s">
        <v>1018</v>
      </c>
      <c r="I97" t="s">
        <v>1018</v>
      </c>
      <c r="J97" t="s">
        <v>1027</v>
      </c>
      <c r="K97">
        <v>0</v>
      </c>
      <c r="L97" t="s">
        <v>1028</v>
      </c>
      <c r="M97">
        <v>62</v>
      </c>
      <c r="N97" t="s">
        <v>1021</v>
      </c>
    </row>
    <row r="98" spans="1:14" x14ac:dyDescent="0.3">
      <c r="A98" t="s">
        <v>110</v>
      </c>
      <c r="B98" t="s">
        <v>1014</v>
      </c>
      <c r="C98" t="s">
        <v>1031</v>
      </c>
      <c r="D98" s="1">
        <v>45908</v>
      </c>
      <c r="E98" s="1">
        <v>45935</v>
      </c>
      <c r="F98" t="s">
        <v>1016</v>
      </c>
      <c r="G98" t="s">
        <v>1017</v>
      </c>
      <c r="H98" t="s">
        <v>1018</v>
      </c>
      <c r="I98" t="s">
        <v>1018</v>
      </c>
      <c r="J98" t="s">
        <v>1019</v>
      </c>
      <c r="K98">
        <v>25148</v>
      </c>
      <c r="L98" t="s">
        <v>1020</v>
      </c>
      <c r="M98">
        <v>57</v>
      </c>
      <c r="N98" t="s">
        <v>1036</v>
      </c>
    </row>
    <row r="99" spans="1:14" x14ac:dyDescent="0.3">
      <c r="A99" t="s">
        <v>111</v>
      </c>
      <c r="B99" t="s">
        <v>1014</v>
      </c>
      <c r="C99" t="s">
        <v>1015</v>
      </c>
      <c r="D99" s="1">
        <v>45825</v>
      </c>
      <c r="E99" s="1">
        <v>45834</v>
      </c>
      <c r="F99" t="s">
        <v>1016</v>
      </c>
      <c r="G99" t="s">
        <v>1027</v>
      </c>
      <c r="H99" t="s">
        <v>1018</v>
      </c>
      <c r="I99" t="s">
        <v>1018</v>
      </c>
      <c r="J99" t="s">
        <v>1027</v>
      </c>
      <c r="K99">
        <v>0</v>
      </c>
      <c r="L99" t="s">
        <v>1028</v>
      </c>
      <c r="M99">
        <v>34</v>
      </c>
      <c r="N99" t="s">
        <v>1030</v>
      </c>
    </row>
    <row r="100" spans="1:14" x14ac:dyDescent="0.3">
      <c r="A100" t="s">
        <v>112</v>
      </c>
      <c r="B100" t="s">
        <v>1014</v>
      </c>
      <c r="C100" t="s">
        <v>1015</v>
      </c>
      <c r="D100" s="1">
        <v>45775</v>
      </c>
      <c r="E100" s="1">
        <v>45799</v>
      </c>
      <c r="F100" t="s">
        <v>1016</v>
      </c>
      <c r="G100" t="s">
        <v>1027</v>
      </c>
      <c r="H100" t="s">
        <v>1018</v>
      </c>
      <c r="I100" t="s">
        <v>1018</v>
      </c>
      <c r="J100" t="s">
        <v>1027</v>
      </c>
      <c r="K100">
        <v>0</v>
      </c>
      <c r="L100" t="s">
        <v>1028</v>
      </c>
      <c r="M100">
        <v>49</v>
      </c>
      <c r="N100" t="s">
        <v>1025</v>
      </c>
    </row>
    <row r="101" spans="1:14" x14ac:dyDescent="0.3">
      <c r="A101" t="s">
        <v>113</v>
      </c>
      <c r="B101" t="s">
        <v>1014</v>
      </c>
      <c r="C101" t="s">
        <v>1033</v>
      </c>
      <c r="D101" s="1">
        <v>45888</v>
      </c>
      <c r="E101" s="1">
        <v>45889</v>
      </c>
      <c r="F101" t="s">
        <v>1016</v>
      </c>
      <c r="G101" t="s">
        <v>1023</v>
      </c>
      <c r="H101" t="s">
        <v>1016</v>
      </c>
      <c r="I101" t="s">
        <v>1016</v>
      </c>
      <c r="J101" t="s">
        <v>1019</v>
      </c>
      <c r="K101">
        <v>117529</v>
      </c>
      <c r="L101" t="s">
        <v>1020</v>
      </c>
      <c r="M101">
        <v>21</v>
      </c>
      <c r="N101" t="s">
        <v>1025</v>
      </c>
    </row>
    <row r="102" spans="1:14" x14ac:dyDescent="0.3">
      <c r="A102" t="s">
        <v>114</v>
      </c>
      <c r="B102" t="s">
        <v>1037</v>
      </c>
      <c r="C102" t="s">
        <v>1015</v>
      </c>
      <c r="D102" s="1">
        <v>45773</v>
      </c>
      <c r="E102" s="1">
        <v>45783</v>
      </c>
      <c r="F102" t="s">
        <v>1016</v>
      </c>
      <c r="G102" t="s">
        <v>1017</v>
      </c>
      <c r="H102" t="s">
        <v>1018</v>
      </c>
      <c r="I102" t="s">
        <v>1018</v>
      </c>
      <c r="J102" t="s">
        <v>1019</v>
      </c>
      <c r="K102">
        <v>154613</v>
      </c>
      <c r="L102" t="s">
        <v>1024</v>
      </c>
      <c r="M102">
        <v>21</v>
      </c>
      <c r="N102" t="s">
        <v>1021</v>
      </c>
    </row>
    <row r="103" spans="1:14" x14ac:dyDescent="0.3">
      <c r="A103" t="s">
        <v>115</v>
      </c>
      <c r="B103" t="s">
        <v>1026</v>
      </c>
      <c r="C103" t="s">
        <v>1022</v>
      </c>
      <c r="D103" s="1">
        <v>45874</v>
      </c>
      <c r="E103" s="1">
        <v>45888</v>
      </c>
      <c r="F103" t="s">
        <v>1016</v>
      </c>
      <c r="G103" t="s">
        <v>1023</v>
      </c>
      <c r="H103" t="s">
        <v>1016</v>
      </c>
      <c r="I103" t="s">
        <v>1016</v>
      </c>
      <c r="J103" t="s">
        <v>1019</v>
      </c>
      <c r="K103">
        <v>11730</v>
      </c>
      <c r="L103" t="s">
        <v>1020</v>
      </c>
      <c r="M103">
        <v>51</v>
      </c>
      <c r="N103" t="s">
        <v>1025</v>
      </c>
    </row>
    <row r="104" spans="1:14" x14ac:dyDescent="0.3">
      <c r="A104" t="s">
        <v>116</v>
      </c>
      <c r="B104" t="s">
        <v>1032</v>
      </c>
      <c r="C104" t="s">
        <v>1033</v>
      </c>
      <c r="D104" s="1">
        <v>45710</v>
      </c>
      <c r="E104" s="1">
        <v>45754</v>
      </c>
      <c r="F104" t="s">
        <v>1018</v>
      </c>
      <c r="G104" t="s">
        <v>1017</v>
      </c>
      <c r="H104" t="s">
        <v>1018</v>
      </c>
      <c r="I104" t="s">
        <v>1018</v>
      </c>
      <c r="J104" t="s">
        <v>1019</v>
      </c>
      <c r="K104">
        <v>36215</v>
      </c>
      <c r="L104" t="s">
        <v>1020</v>
      </c>
      <c r="M104">
        <v>49</v>
      </c>
      <c r="N104" t="s">
        <v>1025</v>
      </c>
    </row>
    <row r="105" spans="1:14" x14ac:dyDescent="0.3">
      <c r="A105" t="s">
        <v>117</v>
      </c>
      <c r="B105" t="s">
        <v>1014</v>
      </c>
      <c r="C105" t="s">
        <v>1035</v>
      </c>
      <c r="D105" s="1">
        <v>45798</v>
      </c>
      <c r="E105" s="1">
        <v>45808</v>
      </c>
      <c r="F105" t="s">
        <v>1016</v>
      </c>
      <c r="G105" t="s">
        <v>1017</v>
      </c>
      <c r="H105" t="s">
        <v>1018</v>
      </c>
      <c r="I105" t="s">
        <v>1018</v>
      </c>
      <c r="J105" t="s">
        <v>1019</v>
      </c>
      <c r="K105">
        <v>166401</v>
      </c>
      <c r="L105" t="s">
        <v>1020</v>
      </c>
      <c r="M105">
        <v>39</v>
      </c>
      <c r="N105" t="s">
        <v>1021</v>
      </c>
    </row>
    <row r="106" spans="1:14" x14ac:dyDescent="0.3">
      <c r="A106" t="s">
        <v>118</v>
      </c>
      <c r="B106" t="s">
        <v>1037</v>
      </c>
      <c r="C106" t="s">
        <v>1022</v>
      </c>
      <c r="D106" s="1">
        <v>45672</v>
      </c>
      <c r="E106" s="1">
        <v>45697</v>
      </c>
      <c r="F106" t="s">
        <v>1016</v>
      </c>
      <c r="G106" t="s">
        <v>1027</v>
      </c>
      <c r="H106" t="s">
        <v>1018</v>
      </c>
      <c r="I106" t="s">
        <v>1018</v>
      </c>
      <c r="J106" t="s">
        <v>1027</v>
      </c>
      <c r="K106">
        <v>0</v>
      </c>
      <c r="L106" t="s">
        <v>1028</v>
      </c>
      <c r="M106">
        <v>63</v>
      </c>
      <c r="N106" t="s">
        <v>1036</v>
      </c>
    </row>
    <row r="107" spans="1:14" x14ac:dyDescent="0.3">
      <c r="A107" t="s">
        <v>119</v>
      </c>
      <c r="B107" t="s">
        <v>1032</v>
      </c>
      <c r="C107" t="s">
        <v>1015</v>
      </c>
      <c r="D107" s="1">
        <v>45921</v>
      </c>
      <c r="E107" s="1">
        <v>45924</v>
      </c>
      <c r="F107" t="s">
        <v>1016</v>
      </c>
      <c r="G107" t="s">
        <v>1023</v>
      </c>
      <c r="H107" t="s">
        <v>1016</v>
      </c>
      <c r="I107" t="s">
        <v>1016</v>
      </c>
      <c r="J107" t="s">
        <v>1019</v>
      </c>
      <c r="K107">
        <v>52753</v>
      </c>
      <c r="L107" t="s">
        <v>1020</v>
      </c>
      <c r="M107">
        <v>19</v>
      </c>
      <c r="N107" t="s">
        <v>1021</v>
      </c>
    </row>
    <row r="108" spans="1:14" x14ac:dyDescent="0.3">
      <c r="A108" t="s">
        <v>120</v>
      </c>
      <c r="B108" t="s">
        <v>1014</v>
      </c>
      <c r="C108" t="s">
        <v>1031</v>
      </c>
      <c r="D108" s="1">
        <v>45913</v>
      </c>
      <c r="E108" s="1">
        <v>45937</v>
      </c>
      <c r="F108" t="s">
        <v>1016</v>
      </c>
      <c r="G108" t="s">
        <v>1017</v>
      </c>
      <c r="H108" t="s">
        <v>1018</v>
      </c>
      <c r="I108" t="s">
        <v>1018</v>
      </c>
      <c r="J108" t="s">
        <v>1019</v>
      </c>
      <c r="K108">
        <v>148776</v>
      </c>
      <c r="L108" t="s">
        <v>1024</v>
      </c>
      <c r="M108">
        <v>42</v>
      </c>
      <c r="N108" t="s">
        <v>1036</v>
      </c>
    </row>
    <row r="109" spans="1:14" x14ac:dyDescent="0.3">
      <c r="A109" t="s">
        <v>121</v>
      </c>
      <c r="B109" t="s">
        <v>1014</v>
      </c>
      <c r="C109" t="s">
        <v>1035</v>
      </c>
      <c r="D109" s="1">
        <v>45972</v>
      </c>
      <c r="E109" s="1">
        <v>46009</v>
      </c>
      <c r="F109" t="s">
        <v>1018</v>
      </c>
      <c r="G109" t="s">
        <v>1023</v>
      </c>
      <c r="H109" t="s">
        <v>1016</v>
      </c>
      <c r="I109" t="s">
        <v>1016</v>
      </c>
      <c r="J109" t="s">
        <v>1019</v>
      </c>
      <c r="K109">
        <v>80075</v>
      </c>
      <c r="L109" t="s">
        <v>1020</v>
      </c>
      <c r="M109">
        <v>77</v>
      </c>
      <c r="N109" t="s">
        <v>1025</v>
      </c>
    </row>
    <row r="110" spans="1:14" x14ac:dyDescent="0.3">
      <c r="A110" t="s">
        <v>122</v>
      </c>
      <c r="B110" t="s">
        <v>1014</v>
      </c>
      <c r="C110" t="s">
        <v>1033</v>
      </c>
      <c r="D110" s="1">
        <v>45691</v>
      </c>
      <c r="E110" s="1">
        <v>45714</v>
      </c>
      <c r="F110" t="s">
        <v>1016</v>
      </c>
      <c r="G110" t="s">
        <v>1017</v>
      </c>
      <c r="H110" t="s">
        <v>1018</v>
      </c>
      <c r="I110" t="s">
        <v>1018</v>
      </c>
      <c r="J110" t="s">
        <v>1019</v>
      </c>
      <c r="K110">
        <v>168388</v>
      </c>
      <c r="L110" t="s">
        <v>1020</v>
      </c>
      <c r="M110">
        <v>34</v>
      </c>
      <c r="N110" t="s">
        <v>1021</v>
      </c>
    </row>
    <row r="111" spans="1:14" x14ac:dyDescent="0.3">
      <c r="A111" t="s">
        <v>123</v>
      </c>
      <c r="B111" t="s">
        <v>1034</v>
      </c>
      <c r="C111" t="s">
        <v>1033</v>
      </c>
      <c r="D111" s="1">
        <v>45796</v>
      </c>
      <c r="E111" s="1">
        <v>45816</v>
      </c>
      <c r="F111" t="s">
        <v>1016</v>
      </c>
      <c r="G111" t="s">
        <v>1027</v>
      </c>
      <c r="H111" t="s">
        <v>1018</v>
      </c>
      <c r="I111" t="s">
        <v>1018</v>
      </c>
      <c r="J111" t="s">
        <v>1027</v>
      </c>
      <c r="K111">
        <v>0</v>
      </c>
      <c r="L111" t="s">
        <v>1028</v>
      </c>
      <c r="M111">
        <v>36</v>
      </c>
      <c r="N111" t="s">
        <v>1025</v>
      </c>
    </row>
    <row r="112" spans="1:14" x14ac:dyDescent="0.3">
      <c r="A112" t="s">
        <v>124</v>
      </c>
      <c r="B112" t="s">
        <v>1026</v>
      </c>
      <c r="C112" t="s">
        <v>1031</v>
      </c>
      <c r="D112" s="1">
        <v>45970</v>
      </c>
      <c r="E112" s="1">
        <v>45989</v>
      </c>
      <c r="F112" t="s">
        <v>1016</v>
      </c>
      <c r="G112" t="s">
        <v>1027</v>
      </c>
      <c r="H112" t="s">
        <v>1018</v>
      </c>
      <c r="I112" t="s">
        <v>1018</v>
      </c>
      <c r="J112" t="s">
        <v>1027</v>
      </c>
      <c r="K112">
        <v>0</v>
      </c>
      <c r="L112" t="s">
        <v>1028</v>
      </c>
      <c r="M112">
        <v>24</v>
      </c>
      <c r="N112" t="s">
        <v>1021</v>
      </c>
    </row>
    <row r="113" spans="1:14" x14ac:dyDescent="0.3">
      <c r="A113" t="s">
        <v>125</v>
      </c>
      <c r="B113" t="s">
        <v>1032</v>
      </c>
      <c r="C113" t="s">
        <v>1022</v>
      </c>
      <c r="D113" s="1">
        <v>45793</v>
      </c>
      <c r="E113" s="1">
        <v>45832</v>
      </c>
      <c r="F113" t="s">
        <v>1018</v>
      </c>
      <c r="G113" t="s">
        <v>1027</v>
      </c>
      <c r="H113" t="s">
        <v>1018</v>
      </c>
      <c r="I113" t="s">
        <v>1018</v>
      </c>
      <c r="J113" t="s">
        <v>1027</v>
      </c>
      <c r="K113">
        <v>0</v>
      </c>
      <c r="L113" t="s">
        <v>1028</v>
      </c>
      <c r="M113">
        <v>76</v>
      </c>
      <c r="N113" t="s">
        <v>1036</v>
      </c>
    </row>
    <row r="114" spans="1:14" x14ac:dyDescent="0.3">
      <c r="A114" t="s">
        <v>126</v>
      </c>
      <c r="B114" t="s">
        <v>1014</v>
      </c>
      <c r="C114" t="s">
        <v>1033</v>
      </c>
      <c r="D114" s="1">
        <v>45661</v>
      </c>
      <c r="E114" s="1">
        <v>45663</v>
      </c>
      <c r="F114" t="s">
        <v>1016</v>
      </c>
      <c r="G114" t="s">
        <v>1023</v>
      </c>
      <c r="H114" t="s">
        <v>1016</v>
      </c>
      <c r="I114" t="s">
        <v>1018</v>
      </c>
      <c r="J114" t="s">
        <v>1027</v>
      </c>
      <c r="K114">
        <v>0</v>
      </c>
      <c r="L114" t="s">
        <v>1028</v>
      </c>
      <c r="M114">
        <v>42</v>
      </c>
      <c r="N114" t="s">
        <v>1021</v>
      </c>
    </row>
    <row r="115" spans="1:14" x14ac:dyDescent="0.3">
      <c r="A115" t="s">
        <v>127</v>
      </c>
      <c r="B115" t="s">
        <v>1014</v>
      </c>
      <c r="C115" t="s">
        <v>1033</v>
      </c>
      <c r="D115" s="1">
        <v>45917</v>
      </c>
      <c r="E115" s="1">
        <v>45922</v>
      </c>
      <c r="F115" t="s">
        <v>1016</v>
      </c>
      <c r="G115" t="s">
        <v>1017</v>
      </c>
      <c r="H115" t="s">
        <v>1018</v>
      </c>
      <c r="I115" t="s">
        <v>1018</v>
      </c>
      <c r="J115" t="s">
        <v>1019</v>
      </c>
      <c r="K115">
        <v>158521</v>
      </c>
      <c r="L115" t="s">
        <v>1020</v>
      </c>
      <c r="M115">
        <v>13</v>
      </c>
      <c r="N115" t="s">
        <v>1021</v>
      </c>
    </row>
    <row r="116" spans="1:14" x14ac:dyDescent="0.3">
      <c r="A116" t="s">
        <v>128</v>
      </c>
      <c r="B116" t="s">
        <v>1037</v>
      </c>
      <c r="C116" t="s">
        <v>1035</v>
      </c>
      <c r="D116" s="1">
        <v>45665</v>
      </c>
      <c r="E116" s="1">
        <v>45694</v>
      </c>
      <c r="F116" t="s">
        <v>1016</v>
      </c>
      <c r="G116" t="s">
        <v>1027</v>
      </c>
      <c r="H116" t="s">
        <v>1018</v>
      </c>
      <c r="I116" t="s">
        <v>1018</v>
      </c>
      <c r="J116" t="s">
        <v>1027</v>
      </c>
      <c r="K116">
        <v>0</v>
      </c>
      <c r="L116" t="s">
        <v>1028</v>
      </c>
      <c r="M116">
        <v>59</v>
      </c>
      <c r="N116" t="s">
        <v>1036</v>
      </c>
    </row>
    <row r="117" spans="1:14" x14ac:dyDescent="0.3">
      <c r="A117" t="s">
        <v>129</v>
      </c>
      <c r="B117" t="s">
        <v>1026</v>
      </c>
      <c r="C117" t="s">
        <v>1035</v>
      </c>
      <c r="D117" s="1">
        <v>45756</v>
      </c>
      <c r="E117" s="1">
        <v>45773</v>
      </c>
      <c r="F117" t="s">
        <v>1016</v>
      </c>
      <c r="G117" t="s">
        <v>1023</v>
      </c>
      <c r="H117" t="s">
        <v>1016</v>
      </c>
      <c r="I117" t="s">
        <v>1018</v>
      </c>
      <c r="J117" t="s">
        <v>1027</v>
      </c>
      <c r="K117">
        <v>0</v>
      </c>
      <c r="L117" t="s">
        <v>1028</v>
      </c>
      <c r="M117">
        <v>40</v>
      </c>
      <c r="N117" t="s">
        <v>1036</v>
      </c>
    </row>
    <row r="118" spans="1:14" x14ac:dyDescent="0.3">
      <c r="A118" t="s">
        <v>130</v>
      </c>
      <c r="B118" t="s">
        <v>1026</v>
      </c>
      <c r="C118" t="s">
        <v>1015</v>
      </c>
      <c r="D118" s="1">
        <v>45876</v>
      </c>
      <c r="E118" s="1">
        <v>45919</v>
      </c>
      <c r="F118" t="s">
        <v>1018</v>
      </c>
      <c r="G118" t="s">
        <v>1027</v>
      </c>
      <c r="H118" t="s">
        <v>1018</v>
      </c>
      <c r="I118" t="s">
        <v>1018</v>
      </c>
      <c r="J118" t="s">
        <v>1027</v>
      </c>
      <c r="K118">
        <v>0</v>
      </c>
      <c r="L118" t="s">
        <v>1028</v>
      </c>
      <c r="M118">
        <v>54</v>
      </c>
      <c r="N118" t="s">
        <v>1036</v>
      </c>
    </row>
    <row r="119" spans="1:14" x14ac:dyDescent="0.3">
      <c r="A119" t="s">
        <v>131</v>
      </c>
      <c r="B119" t="s">
        <v>1034</v>
      </c>
      <c r="C119" t="s">
        <v>1031</v>
      </c>
      <c r="D119" s="1">
        <v>45726</v>
      </c>
      <c r="E119" s="1">
        <v>45763</v>
      </c>
      <c r="F119" t="s">
        <v>1018</v>
      </c>
      <c r="G119" t="s">
        <v>1027</v>
      </c>
      <c r="H119" t="s">
        <v>1018</v>
      </c>
      <c r="I119" t="s">
        <v>1018</v>
      </c>
      <c r="J119" t="s">
        <v>1027</v>
      </c>
      <c r="K119">
        <v>0</v>
      </c>
      <c r="L119" t="s">
        <v>1028</v>
      </c>
      <c r="M119">
        <v>42</v>
      </c>
      <c r="N119" t="s">
        <v>1021</v>
      </c>
    </row>
    <row r="120" spans="1:14" x14ac:dyDescent="0.3">
      <c r="A120" t="s">
        <v>132</v>
      </c>
      <c r="B120" t="s">
        <v>1037</v>
      </c>
      <c r="C120" t="s">
        <v>1015</v>
      </c>
      <c r="D120" s="1">
        <v>46001</v>
      </c>
      <c r="E120" s="1">
        <v>46040</v>
      </c>
      <c r="F120" t="s">
        <v>1018</v>
      </c>
      <c r="G120" t="s">
        <v>1017</v>
      </c>
      <c r="H120" t="s">
        <v>1018</v>
      </c>
      <c r="I120" t="s">
        <v>1018</v>
      </c>
      <c r="J120" t="s">
        <v>1019</v>
      </c>
      <c r="K120">
        <v>182961</v>
      </c>
      <c r="L120" t="s">
        <v>1020</v>
      </c>
      <c r="M120">
        <v>69</v>
      </c>
      <c r="N120" t="s">
        <v>1025</v>
      </c>
    </row>
    <row r="121" spans="1:14" x14ac:dyDescent="0.3">
      <c r="A121" t="s">
        <v>133</v>
      </c>
      <c r="B121" t="s">
        <v>1029</v>
      </c>
      <c r="C121" t="s">
        <v>1015</v>
      </c>
      <c r="D121" s="1">
        <v>45890</v>
      </c>
      <c r="E121" s="1">
        <v>45904</v>
      </c>
      <c r="F121" t="s">
        <v>1016</v>
      </c>
      <c r="G121" t="s">
        <v>1017</v>
      </c>
      <c r="H121" t="s">
        <v>1018</v>
      </c>
      <c r="I121" t="s">
        <v>1018</v>
      </c>
      <c r="J121" t="s">
        <v>1019</v>
      </c>
      <c r="K121">
        <v>30684</v>
      </c>
      <c r="L121" t="s">
        <v>1020</v>
      </c>
      <c r="M121">
        <v>22</v>
      </c>
      <c r="N121" t="s">
        <v>1025</v>
      </c>
    </row>
    <row r="122" spans="1:14" x14ac:dyDescent="0.3">
      <c r="A122" t="s">
        <v>134</v>
      </c>
      <c r="B122" t="s">
        <v>1032</v>
      </c>
      <c r="C122" t="s">
        <v>1031</v>
      </c>
      <c r="D122" s="1">
        <v>45955</v>
      </c>
      <c r="E122" s="1">
        <v>45961</v>
      </c>
      <c r="F122" t="s">
        <v>1016</v>
      </c>
      <c r="G122" t="s">
        <v>1027</v>
      </c>
      <c r="H122" t="s">
        <v>1018</v>
      </c>
      <c r="I122" t="s">
        <v>1018</v>
      </c>
      <c r="J122" t="s">
        <v>1027</v>
      </c>
      <c r="K122">
        <v>0</v>
      </c>
      <c r="L122" t="s">
        <v>1028</v>
      </c>
      <c r="M122">
        <v>32</v>
      </c>
      <c r="N122" t="s">
        <v>1036</v>
      </c>
    </row>
    <row r="123" spans="1:14" x14ac:dyDescent="0.3">
      <c r="A123" t="s">
        <v>135</v>
      </c>
      <c r="B123" t="s">
        <v>1032</v>
      </c>
      <c r="C123" t="s">
        <v>1035</v>
      </c>
      <c r="D123" s="1">
        <v>45896</v>
      </c>
      <c r="E123" s="1">
        <v>45932</v>
      </c>
      <c r="F123" t="s">
        <v>1018</v>
      </c>
      <c r="G123" t="s">
        <v>1027</v>
      </c>
      <c r="H123" t="s">
        <v>1018</v>
      </c>
      <c r="I123" t="s">
        <v>1018</v>
      </c>
      <c r="J123" t="s">
        <v>1027</v>
      </c>
      <c r="K123">
        <v>0</v>
      </c>
      <c r="L123" t="s">
        <v>1028</v>
      </c>
      <c r="M123">
        <v>53</v>
      </c>
      <c r="N123" t="s">
        <v>1025</v>
      </c>
    </row>
    <row r="124" spans="1:14" x14ac:dyDescent="0.3">
      <c r="A124" t="s">
        <v>136</v>
      </c>
      <c r="B124" t="s">
        <v>1032</v>
      </c>
      <c r="C124" t="s">
        <v>1031</v>
      </c>
      <c r="D124" s="1">
        <v>45664</v>
      </c>
      <c r="E124" s="1">
        <v>45686</v>
      </c>
      <c r="F124" t="s">
        <v>1016</v>
      </c>
      <c r="G124" t="s">
        <v>1023</v>
      </c>
      <c r="H124" t="s">
        <v>1016</v>
      </c>
      <c r="I124" t="s">
        <v>1018</v>
      </c>
      <c r="J124" t="s">
        <v>1027</v>
      </c>
      <c r="K124">
        <v>0</v>
      </c>
      <c r="L124" t="s">
        <v>1028</v>
      </c>
      <c r="M124">
        <v>58</v>
      </c>
      <c r="N124" t="s">
        <v>1021</v>
      </c>
    </row>
    <row r="125" spans="1:14" x14ac:dyDescent="0.3">
      <c r="A125" t="s">
        <v>137</v>
      </c>
      <c r="B125" t="s">
        <v>1029</v>
      </c>
      <c r="C125" t="s">
        <v>1031</v>
      </c>
      <c r="D125" s="1">
        <v>45820</v>
      </c>
      <c r="E125" s="1">
        <v>45853</v>
      </c>
      <c r="F125" t="s">
        <v>1018</v>
      </c>
      <c r="G125" t="s">
        <v>1017</v>
      </c>
      <c r="H125" t="s">
        <v>1018</v>
      </c>
      <c r="I125" t="s">
        <v>1018</v>
      </c>
      <c r="J125" t="s">
        <v>1019</v>
      </c>
      <c r="K125">
        <v>165214</v>
      </c>
      <c r="L125" t="s">
        <v>1020</v>
      </c>
      <c r="M125">
        <v>38</v>
      </c>
      <c r="N125" t="s">
        <v>1030</v>
      </c>
    </row>
    <row r="126" spans="1:14" x14ac:dyDescent="0.3">
      <c r="A126" t="s">
        <v>138</v>
      </c>
      <c r="B126" t="s">
        <v>1032</v>
      </c>
      <c r="C126" t="s">
        <v>1033</v>
      </c>
      <c r="D126" s="1">
        <v>45788</v>
      </c>
      <c r="E126" s="1">
        <v>45817</v>
      </c>
      <c r="F126" t="s">
        <v>1016</v>
      </c>
      <c r="G126" t="s">
        <v>1023</v>
      </c>
      <c r="H126" t="s">
        <v>1016</v>
      </c>
      <c r="I126" t="s">
        <v>1018</v>
      </c>
      <c r="J126" t="s">
        <v>1027</v>
      </c>
      <c r="K126">
        <v>0</v>
      </c>
      <c r="L126" t="s">
        <v>1028</v>
      </c>
      <c r="M126">
        <v>46</v>
      </c>
      <c r="N126" t="s">
        <v>1025</v>
      </c>
    </row>
    <row r="127" spans="1:14" x14ac:dyDescent="0.3">
      <c r="A127" t="s">
        <v>139</v>
      </c>
      <c r="B127" t="s">
        <v>1014</v>
      </c>
      <c r="C127" t="s">
        <v>1033</v>
      </c>
      <c r="D127" s="1">
        <v>46005</v>
      </c>
      <c r="E127" s="1">
        <v>46007</v>
      </c>
      <c r="F127" t="s">
        <v>1016</v>
      </c>
      <c r="G127" t="s">
        <v>1027</v>
      </c>
      <c r="H127" t="s">
        <v>1018</v>
      </c>
      <c r="I127" t="s">
        <v>1018</v>
      </c>
      <c r="J127" t="s">
        <v>1027</v>
      </c>
      <c r="K127">
        <v>0</v>
      </c>
      <c r="L127" t="s">
        <v>1028</v>
      </c>
      <c r="M127">
        <v>18</v>
      </c>
      <c r="N127" t="s">
        <v>1030</v>
      </c>
    </row>
    <row r="128" spans="1:14" x14ac:dyDescent="0.3">
      <c r="A128" t="s">
        <v>140</v>
      </c>
      <c r="B128" t="s">
        <v>1029</v>
      </c>
      <c r="C128" t="s">
        <v>1022</v>
      </c>
      <c r="D128" s="1">
        <v>45879</v>
      </c>
      <c r="E128" s="1">
        <v>45885</v>
      </c>
      <c r="F128" t="s">
        <v>1016</v>
      </c>
      <c r="G128" t="s">
        <v>1023</v>
      </c>
      <c r="H128" t="s">
        <v>1016</v>
      </c>
      <c r="I128" t="s">
        <v>1018</v>
      </c>
      <c r="J128" t="s">
        <v>1027</v>
      </c>
      <c r="K128">
        <v>0</v>
      </c>
      <c r="L128" t="s">
        <v>1028</v>
      </c>
      <c r="M128">
        <v>12</v>
      </c>
      <c r="N128" t="s">
        <v>1021</v>
      </c>
    </row>
    <row r="129" spans="1:14" x14ac:dyDescent="0.3">
      <c r="A129" t="s">
        <v>141</v>
      </c>
      <c r="B129" t="s">
        <v>1032</v>
      </c>
      <c r="C129" t="s">
        <v>1031</v>
      </c>
      <c r="D129" s="1">
        <v>45836</v>
      </c>
      <c r="E129" s="1">
        <v>45880</v>
      </c>
      <c r="F129" t="s">
        <v>1018</v>
      </c>
      <c r="G129" t="s">
        <v>1017</v>
      </c>
      <c r="H129" t="s">
        <v>1018</v>
      </c>
      <c r="I129" t="s">
        <v>1018</v>
      </c>
      <c r="J129" t="s">
        <v>1019</v>
      </c>
      <c r="K129">
        <v>126719</v>
      </c>
      <c r="L129" t="s">
        <v>1024</v>
      </c>
      <c r="M129">
        <v>78</v>
      </c>
      <c r="N129" t="s">
        <v>1025</v>
      </c>
    </row>
    <row r="130" spans="1:14" x14ac:dyDescent="0.3">
      <c r="A130" t="s">
        <v>142</v>
      </c>
      <c r="B130" t="s">
        <v>1026</v>
      </c>
      <c r="C130" t="s">
        <v>1035</v>
      </c>
      <c r="D130" s="1">
        <v>45843</v>
      </c>
      <c r="E130" s="1">
        <v>45854</v>
      </c>
      <c r="F130" t="s">
        <v>1016</v>
      </c>
      <c r="G130" t="s">
        <v>1023</v>
      </c>
      <c r="H130" t="s">
        <v>1016</v>
      </c>
      <c r="I130" t="s">
        <v>1018</v>
      </c>
      <c r="J130" t="s">
        <v>1027</v>
      </c>
      <c r="K130">
        <v>0</v>
      </c>
      <c r="L130" t="s">
        <v>1028</v>
      </c>
      <c r="M130">
        <v>17</v>
      </c>
      <c r="N130" t="s">
        <v>1030</v>
      </c>
    </row>
    <row r="131" spans="1:14" x14ac:dyDescent="0.3">
      <c r="A131" t="s">
        <v>143</v>
      </c>
      <c r="B131" t="s">
        <v>1026</v>
      </c>
      <c r="C131" t="s">
        <v>1022</v>
      </c>
      <c r="D131" s="1">
        <v>45764</v>
      </c>
      <c r="E131" s="1">
        <v>45795</v>
      </c>
      <c r="F131" t="s">
        <v>1018</v>
      </c>
      <c r="G131" t="s">
        <v>1023</v>
      </c>
      <c r="H131" t="s">
        <v>1016</v>
      </c>
      <c r="I131" t="s">
        <v>1018</v>
      </c>
      <c r="J131" t="s">
        <v>1027</v>
      </c>
      <c r="K131">
        <v>0</v>
      </c>
      <c r="L131" t="s">
        <v>1028</v>
      </c>
      <c r="M131">
        <v>37</v>
      </c>
      <c r="N131" t="s">
        <v>1036</v>
      </c>
    </row>
    <row r="132" spans="1:14" x14ac:dyDescent="0.3">
      <c r="A132" t="s">
        <v>144</v>
      </c>
      <c r="B132" t="s">
        <v>1032</v>
      </c>
      <c r="C132" t="s">
        <v>1022</v>
      </c>
      <c r="D132" s="1">
        <v>45692</v>
      </c>
      <c r="E132" s="1">
        <v>45718</v>
      </c>
      <c r="F132" t="s">
        <v>1016</v>
      </c>
      <c r="G132" t="s">
        <v>1017</v>
      </c>
      <c r="H132" t="s">
        <v>1018</v>
      </c>
      <c r="I132" t="s">
        <v>1018</v>
      </c>
      <c r="J132" t="s">
        <v>1019</v>
      </c>
      <c r="K132">
        <v>77358</v>
      </c>
      <c r="L132" t="s">
        <v>1020</v>
      </c>
      <c r="M132">
        <v>56</v>
      </c>
      <c r="N132" t="s">
        <v>1030</v>
      </c>
    </row>
    <row r="133" spans="1:14" x14ac:dyDescent="0.3">
      <c r="A133" t="s">
        <v>145</v>
      </c>
      <c r="B133" t="s">
        <v>1026</v>
      </c>
      <c r="C133" t="s">
        <v>1022</v>
      </c>
      <c r="D133" s="1">
        <v>46003</v>
      </c>
      <c r="E133" s="1">
        <v>46005</v>
      </c>
      <c r="F133" t="s">
        <v>1016</v>
      </c>
      <c r="G133" t="s">
        <v>1017</v>
      </c>
      <c r="H133" t="s">
        <v>1018</v>
      </c>
      <c r="I133" t="s">
        <v>1018</v>
      </c>
      <c r="J133" t="s">
        <v>1019</v>
      </c>
      <c r="K133">
        <v>68372</v>
      </c>
      <c r="L133" t="s">
        <v>1024</v>
      </c>
      <c r="M133">
        <v>16</v>
      </c>
      <c r="N133" t="s">
        <v>1021</v>
      </c>
    </row>
    <row r="134" spans="1:14" x14ac:dyDescent="0.3">
      <c r="A134" t="s">
        <v>146</v>
      </c>
      <c r="B134" t="s">
        <v>1032</v>
      </c>
      <c r="C134" t="s">
        <v>1031</v>
      </c>
      <c r="D134" s="1">
        <v>45762</v>
      </c>
      <c r="E134" s="1">
        <v>45795</v>
      </c>
      <c r="F134" t="s">
        <v>1018</v>
      </c>
      <c r="G134" t="s">
        <v>1017</v>
      </c>
      <c r="H134" t="s">
        <v>1018</v>
      </c>
      <c r="I134" t="s">
        <v>1018</v>
      </c>
      <c r="J134" t="s">
        <v>1019</v>
      </c>
      <c r="K134">
        <v>22460</v>
      </c>
      <c r="L134" t="s">
        <v>1020</v>
      </c>
      <c r="M134">
        <v>63</v>
      </c>
      <c r="N134" t="s">
        <v>1036</v>
      </c>
    </row>
    <row r="135" spans="1:14" x14ac:dyDescent="0.3">
      <c r="A135" t="s">
        <v>147</v>
      </c>
      <c r="B135" t="s">
        <v>1029</v>
      </c>
      <c r="C135" t="s">
        <v>1035</v>
      </c>
      <c r="D135" s="1">
        <v>45752</v>
      </c>
      <c r="E135" s="1">
        <v>45779</v>
      </c>
      <c r="F135" t="s">
        <v>1016</v>
      </c>
      <c r="G135" t="s">
        <v>1023</v>
      </c>
      <c r="H135" t="s">
        <v>1016</v>
      </c>
      <c r="I135" t="s">
        <v>1018</v>
      </c>
      <c r="J135" t="s">
        <v>1027</v>
      </c>
      <c r="K135">
        <v>0</v>
      </c>
      <c r="L135" t="s">
        <v>1028</v>
      </c>
      <c r="M135">
        <v>54</v>
      </c>
      <c r="N135" t="s">
        <v>1036</v>
      </c>
    </row>
    <row r="136" spans="1:14" x14ac:dyDescent="0.3">
      <c r="A136" t="s">
        <v>148</v>
      </c>
      <c r="B136" t="s">
        <v>1014</v>
      </c>
      <c r="C136" t="s">
        <v>1033</v>
      </c>
      <c r="D136" s="1">
        <v>45890</v>
      </c>
      <c r="E136" s="1">
        <v>45919</v>
      </c>
      <c r="F136" t="s">
        <v>1016</v>
      </c>
      <c r="G136" t="s">
        <v>1023</v>
      </c>
      <c r="H136" t="s">
        <v>1016</v>
      </c>
      <c r="I136" t="s">
        <v>1016</v>
      </c>
      <c r="J136" t="s">
        <v>1019</v>
      </c>
      <c r="K136">
        <v>153830</v>
      </c>
      <c r="L136" t="s">
        <v>1024</v>
      </c>
      <c r="M136">
        <v>40</v>
      </c>
      <c r="N136" t="s">
        <v>1021</v>
      </c>
    </row>
    <row r="137" spans="1:14" x14ac:dyDescent="0.3">
      <c r="A137" t="s">
        <v>149</v>
      </c>
      <c r="B137" t="s">
        <v>1026</v>
      </c>
      <c r="C137" t="s">
        <v>1031</v>
      </c>
      <c r="D137" s="1">
        <v>45896</v>
      </c>
      <c r="E137" s="1">
        <v>45928</v>
      </c>
      <c r="F137" t="s">
        <v>1018</v>
      </c>
      <c r="G137" t="s">
        <v>1023</v>
      </c>
      <c r="H137" t="s">
        <v>1016</v>
      </c>
      <c r="I137" t="s">
        <v>1016</v>
      </c>
      <c r="J137" t="s">
        <v>1019</v>
      </c>
      <c r="K137">
        <v>49072</v>
      </c>
      <c r="L137" t="s">
        <v>1020</v>
      </c>
      <c r="M137">
        <v>50</v>
      </c>
      <c r="N137" t="s">
        <v>1025</v>
      </c>
    </row>
    <row r="138" spans="1:14" x14ac:dyDescent="0.3">
      <c r="A138" t="s">
        <v>150</v>
      </c>
      <c r="B138" t="s">
        <v>1026</v>
      </c>
      <c r="C138" t="s">
        <v>1022</v>
      </c>
      <c r="D138" s="1">
        <v>45894</v>
      </c>
      <c r="E138" s="1">
        <v>45903</v>
      </c>
      <c r="F138" t="s">
        <v>1016</v>
      </c>
      <c r="G138" t="s">
        <v>1027</v>
      </c>
      <c r="H138" t="s">
        <v>1018</v>
      </c>
      <c r="I138" t="s">
        <v>1018</v>
      </c>
      <c r="J138" t="s">
        <v>1027</v>
      </c>
      <c r="K138">
        <v>0</v>
      </c>
      <c r="L138" t="s">
        <v>1028</v>
      </c>
      <c r="M138">
        <v>44</v>
      </c>
      <c r="N138" t="s">
        <v>1025</v>
      </c>
    </row>
    <row r="139" spans="1:14" x14ac:dyDescent="0.3">
      <c r="A139" t="s">
        <v>151</v>
      </c>
      <c r="B139" t="s">
        <v>1026</v>
      </c>
      <c r="C139" t="s">
        <v>1035</v>
      </c>
      <c r="D139" s="1">
        <v>45796</v>
      </c>
      <c r="E139" s="1">
        <v>45816</v>
      </c>
      <c r="F139" t="s">
        <v>1016</v>
      </c>
      <c r="G139" t="s">
        <v>1023</v>
      </c>
      <c r="H139" t="s">
        <v>1016</v>
      </c>
      <c r="I139" t="s">
        <v>1016</v>
      </c>
      <c r="J139" t="s">
        <v>1019</v>
      </c>
      <c r="K139">
        <v>180995</v>
      </c>
      <c r="L139" t="s">
        <v>1020</v>
      </c>
      <c r="M139">
        <v>33</v>
      </c>
      <c r="N139" t="s">
        <v>1025</v>
      </c>
    </row>
    <row r="140" spans="1:14" x14ac:dyDescent="0.3">
      <c r="A140" t="s">
        <v>152</v>
      </c>
      <c r="B140" t="s">
        <v>1037</v>
      </c>
      <c r="C140" t="s">
        <v>1015</v>
      </c>
      <c r="D140" s="1">
        <v>45903</v>
      </c>
      <c r="E140" s="1">
        <v>45929</v>
      </c>
      <c r="F140" t="s">
        <v>1016</v>
      </c>
      <c r="G140" t="s">
        <v>1023</v>
      </c>
      <c r="H140" t="s">
        <v>1016</v>
      </c>
      <c r="I140" t="s">
        <v>1016</v>
      </c>
      <c r="J140" t="s">
        <v>1019</v>
      </c>
      <c r="K140">
        <v>143966</v>
      </c>
      <c r="L140" t="s">
        <v>1020</v>
      </c>
      <c r="M140">
        <v>46</v>
      </c>
      <c r="N140" t="s">
        <v>1030</v>
      </c>
    </row>
    <row r="141" spans="1:14" x14ac:dyDescent="0.3">
      <c r="A141" t="s">
        <v>153</v>
      </c>
      <c r="B141" t="s">
        <v>1026</v>
      </c>
      <c r="C141" t="s">
        <v>1031</v>
      </c>
      <c r="D141" s="1">
        <v>45857</v>
      </c>
      <c r="E141" s="1">
        <v>45876</v>
      </c>
      <c r="F141" t="s">
        <v>1016</v>
      </c>
      <c r="G141" t="s">
        <v>1023</v>
      </c>
      <c r="H141" t="s">
        <v>1016</v>
      </c>
      <c r="I141" t="s">
        <v>1018</v>
      </c>
      <c r="J141" t="s">
        <v>1027</v>
      </c>
      <c r="K141">
        <v>0</v>
      </c>
      <c r="L141" t="s">
        <v>1028</v>
      </c>
      <c r="M141">
        <v>44</v>
      </c>
      <c r="N141" t="s">
        <v>1036</v>
      </c>
    </row>
    <row r="142" spans="1:14" x14ac:dyDescent="0.3">
      <c r="A142" t="s">
        <v>154</v>
      </c>
      <c r="B142" t="s">
        <v>1026</v>
      </c>
      <c r="C142" t="s">
        <v>1015</v>
      </c>
      <c r="D142" s="1">
        <v>45872</v>
      </c>
      <c r="E142" s="1">
        <v>45881</v>
      </c>
      <c r="F142" t="s">
        <v>1016</v>
      </c>
      <c r="G142" t="s">
        <v>1017</v>
      </c>
      <c r="H142" t="s">
        <v>1018</v>
      </c>
      <c r="I142" t="s">
        <v>1018</v>
      </c>
      <c r="J142" t="s">
        <v>1019</v>
      </c>
      <c r="K142">
        <v>159954</v>
      </c>
      <c r="L142" t="s">
        <v>1020</v>
      </c>
      <c r="M142">
        <v>36</v>
      </c>
      <c r="N142" t="s">
        <v>1030</v>
      </c>
    </row>
    <row r="143" spans="1:14" x14ac:dyDescent="0.3">
      <c r="A143" t="s">
        <v>155</v>
      </c>
      <c r="B143" t="s">
        <v>1034</v>
      </c>
      <c r="C143" t="s">
        <v>1033</v>
      </c>
      <c r="D143" s="1">
        <v>45937</v>
      </c>
      <c r="E143" s="1">
        <v>45960</v>
      </c>
      <c r="F143" t="s">
        <v>1016</v>
      </c>
      <c r="G143" t="s">
        <v>1017</v>
      </c>
      <c r="H143" t="s">
        <v>1018</v>
      </c>
      <c r="I143" t="s">
        <v>1018</v>
      </c>
      <c r="J143" t="s">
        <v>1019</v>
      </c>
      <c r="K143">
        <v>34593</v>
      </c>
      <c r="L143" t="s">
        <v>1020</v>
      </c>
      <c r="M143">
        <v>53</v>
      </c>
      <c r="N143" t="s">
        <v>1030</v>
      </c>
    </row>
    <row r="144" spans="1:14" x14ac:dyDescent="0.3">
      <c r="A144" t="s">
        <v>156</v>
      </c>
      <c r="B144" t="s">
        <v>1014</v>
      </c>
      <c r="C144" t="s">
        <v>1035</v>
      </c>
      <c r="D144" s="1">
        <v>45931</v>
      </c>
      <c r="E144" s="1">
        <v>45933</v>
      </c>
      <c r="F144" t="s">
        <v>1016</v>
      </c>
      <c r="G144" t="s">
        <v>1027</v>
      </c>
      <c r="H144" t="s">
        <v>1018</v>
      </c>
      <c r="I144" t="s">
        <v>1018</v>
      </c>
      <c r="J144" t="s">
        <v>1027</v>
      </c>
      <c r="K144">
        <v>0</v>
      </c>
      <c r="L144" t="s">
        <v>1028</v>
      </c>
      <c r="M144">
        <v>20</v>
      </c>
      <c r="N144" t="s">
        <v>1025</v>
      </c>
    </row>
    <row r="145" spans="1:14" x14ac:dyDescent="0.3">
      <c r="A145" t="s">
        <v>157</v>
      </c>
      <c r="B145" t="s">
        <v>1034</v>
      </c>
      <c r="C145" t="s">
        <v>1033</v>
      </c>
      <c r="D145" s="1">
        <v>45971</v>
      </c>
      <c r="E145" s="1">
        <v>46006</v>
      </c>
      <c r="F145" t="s">
        <v>1018</v>
      </c>
      <c r="G145" t="s">
        <v>1017</v>
      </c>
      <c r="H145" t="s">
        <v>1018</v>
      </c>
      <c r="I145" t="s">
        <v>1018</v>
      </c>
      <c r="J145" t="s">
        <v>1019</v>
      </c>
      <c r="K145">
        <v>114572</v>
      </c>
      <c r="L145" t="s">
        <v>1020</v>
      </c>
      <c r="M145">
        <v>41</v>
      </c>
      <c r="N145" t="s">
        <v>1025</v>
      </c>
    </row>
    <row r="146" spans="1:14" x14ac:dyDescent="0.3">
      <c r="A146" t="s">
        <v>158</v>
      </c>
      <c r="B146" t="s">
        <v>1014</v>
      </c>
      <c r="C146" t="s">
        <v>1035</v>
      </c>
      <c r="D146" s="1">
        <v>45751</v>
      </c>
      <c r="E146" s="1">
        <v>45786</v>
      </c>
      <c r="F146" t="s">
        <v>1018</v>
      </c>
      <c r="G146" t="s">
        <v>1017</v>
      </c>
      <c r="H146" t="s">
        <v>1018</v>
      </c>
      <c r="I146" t="s">
        <v>1018</v>
      </c>
      <c r="J146" t="s">
        <v>1019</v>
      </c>
      <c r="K146">
        <v>98531</v>
      </c>
      <c r="L146" t="s">
        <v>1020</v>
      </c>
      <c r="M146">
        <v>74</v>
      </c>
      <c r="N146" t="s">
        <v>1021</v>
      </c>
    </row>
    <row r="147" spans="1:14" x14ac:dyDescent="0.3">
      <c r="A147" t="s">
        <v>159</v>
      </c>
      <c r="B147" t="s">
        <v>1014</v>
      </c>
      <c r="C147" t="s">
        <v>1035</v>
      </c>
      <c r="D147" s="1">
        <v>45793</v>
      </c>
      <c r="E147" s="1">
        <v>45836</v>
      </c>
      <c r="F147" t="s">
        <v>1018</v>
      </c>
      <c r="G147" t="s">
        <v>1027</v>
      </c>
      <c r="H147" t="s">
        <v>1018</v>
      </c>
      <c r="I147" t="s">
        <v>1018</v>
      </c>
      <c r="J147" t="s">
        <v>1027</v>
      </c>
      <c r="K147">
        <v>0</v>
      </c>
      <c r="L147" t="s">
        <v>1028</v>
      </c>
      <c r="M147">
        <v>55</v>
      </c>
      <c r="N147" t="s">
        <v>1030</v>
      </c>
    </row>
    <row r="148" spans="1:14" x14ac:dyDescent="0.3">
      <c r="A148" t="s">
        <v>160</v>
      </c>
      <c r="B148" t="s">
        <v>1026</v>
      </c>
      <c r="C148" t="s">
        <v>1022</v>
      </c>
      <c r="D148" s="1">
        <v>45725</v>
      </c>
      <c r="E148" s="1">
        <v>45734</v>
      </c>
      <c r="F148" t="s">
        <v>1016</v>
      </c>
      <c r="G148" t="s">
        <v>1017</v>
      </c>
      <c r="H148" t="s">
        <v>1018</v>
      </c>
      <c r="I148" t="s">
        <v>1018</v>
      </c>
      <c r="J148" t="s">
        <v>1019</v>
      </c>
      <c r="K148">
        <v>152690</v>
      </c>
      <c r="L148" t="s">
        <v>1024</v>
      </c>
      <c r="M148">
        <v>44</v>
      </c>
      <c r="N148" t="s">
        <v>1036</v>
      </c>
    </row>
    <row r="149" spans="1:14" x14ac:dyDescent="0.3">
      <c r="A149" t="s">
        <v>161</v>
      </c>
      <c r="B149" t="s">
        <v>1032</v>
      </c>
      <c r="C149" t="s">
        <v>1033</v>
      </c>
      <c r="D149" s="1">
        <v>46017</v>
      </c>
      <c r="E149" s="1">
        <v>46031</v>
      </c>
      <c r="F149" t="s">
        <v>1016</v>
      </c>
      <c r="G149" t="s">
        <v>1027</v>
      </c>
      <c r="H149" t="s">
        <v>1018</v>
      </c>
      <c r="I149" t="s">
        <v>1018</v>
      </c>
      <c r="J149" t="s">
        <v>1027</v>
      </c>
      <c r="K149">
        <v>0</v>
      </c>
      <c r="L149" t="s">
        <v>1028</v>
      </c>
      <c r="M149">
        <v>21</v>
      </c>
      <c r="N149" t="s">
        <v>1030</v>
      </c>
    </row>
    <row r="150" spans="1:14" x14ac:dyDescent="0.3">
      <c r="A150" t="s">
        <v>162</v>
      </c>
      <c r="B150" t="s">
        <v>1026</v>
      </c>
      <c r="C150" t="s">
        <v>1035</v>
      </c>
      <c r="D150" s="1">
        <v>45825</v>
      </c>
      <c r="E150" s="1">
        <v>45861</v>
      </c>
      <c r="F150" t="s">
        <v>1018</v>
      </c>
      <c r="G150" t="s">
        <v>1027</v>
      </c>
      <c r="H150" t="s">
        <v>1018</v>
      </c>
      <c r="I150" t="s">
        <v>1018</v>
      </c>
      <c r="J150" t="s">
        <v>1027</v>
      </c>
      <c r="K150">
        <v>0</v>
      </c>
      <c r="L150" t="s">
        <v>1028</v>
      </c>
      <c r="M150">
        <v>54</v>
      </c>
      <c r="N150" t="s">
        <v>1025</v>
      </c>
    </row>
    <row r="151" spans="1:14" x14ac:dyDescent="0.3">
      <c r="A151" t="s">
        <v>163</v>
      </c>
      <c r="B151" t="s">
        <v>1032</v>
      </c>
      <c r="C151" t="s">
        <v>1022</v>
      </c>
      <c r="D151" s="1">
        <v>45737</v>
      </c>
      <c r="E151" s="1">
        <v>45755</v>
      </c>
      <c r="F151" t="s">
        <v>1016</v>
      </c>
      <c r="G151" t="s">
        <v>1017</v>
      </c>
      <c r="H151" t="s">
        <v>1018</v>
      </c>
      <c r="I151" t="s">
        <v>1018</v>
      </c>
      <c r="J151" t="s">
        <v>1019</v>
      </c>
      <c r="K151">
        <v>36504</v>
      </c>
      <c r="L151" t="s">
        <v>1020</v>
      </c>
      <c r="M151">
        <v>24</v>
      </c>
      <c r="N151" t="s">
        <v>1025</v>
      </c>
    </row>
    <row r="152" spans="1:14" x14ac:dyDescent="0.3">
      <c r="A152" t="s">
        <v>164</v>
      </c>
      <c r="B152" t="s">
        <v>1026</v>
      </c>
      <c r="C152" t="s">
        <v>1035</v>
      </c>
      <c r="D152" s="1">
        <v>45712</v>
      </c>
      <c r="E152" s="1">
        <v>45744</v>
      </c>
      <c r="F152" t="s">
        <v>1018</v>
      </c>
      <c r="G152" t="s">
        <v>1027</v>
      </c>
      <c r="H152" t="s">
        <v>1018</v>
      </c>
      <c r="I152" t="s">
        <v>1018</v>
      </c>
      <c r="J152" t="s">
        <v>1027</v>
      </c>
      <c r="K152">
        <v>0</v>
      </c>
      <c r="L152" t="s">
        <v>1028</v>
      </c>
      <c r="M152">
        <v>61</v>
      </c>
      <c r="N152" t="s">
        <v>1030</v>
      </c>
    </row>
    <row r="153" spans="1:14" x14ac:dyDescent="0.3">
      <c r="A153" t="s">
        <v>165</v>
      </c>
      <c r="B153" t="s">
        <v>1034</v>
      </c>
      <c r="C153" t="s">
        <v>1015</v>
      </c>
      <c r="D153" s="1">
        <v>45818</v>
      </c>
      <c r="E153" s="1">
        <v>45838</v>
      </c>
      <c r="F153" t="s">
        <v>1016</v>
      </c>
      <c r="G153" t="s">
        <v>1027</v>
      </c>
      <c r="H153" t="s">
        <v>1018</v>
      </c>
      <c r="I153" t="s">
        <v>1018</v>
      </c>
      <c r="J153" t="s">
        <v>1027</v>
      </c>
      <c r="K153">
        <v>0</v>
      </c>
      <c r="L153" t="s">
        <v>1028</v>
      </c>
      <c r="M153">
        <v>26</v>
      </c>
      <c r="N153" t="s">
        <v>1025</v>
      </c>
    </row>
    <row r="154" spans="1:14" x14ac:dyDescent="0.3">
      <c r="A154" t="s">
        <v>166</v>
      </c>
      <c r="B154" t="s">
        <v>1029</v>
      </c>
      <c r="C154" t="s">
        <v>1015</v>
      </c>
      <c r="D154" s="1">
        <v>45733</v>
      </c>
      <c r="E154" s="1">
        <v>45762</v>
      </c>
      <c r="F154" t="s">
        <v>1016</v>
      </c>
      <c r="G154" t="s">
        <v>1017</v>
      </c>
      <c r="H154" t="s">
        <v>1018</v>
      </c>
      <c r="I154" t="s">
        <v>1018</v>
      </c>
      <c r="J154" t="s">
        <v>1019</v>
      </c>
      <c r="K154">
        <v>7906</v>
      </c>
      <c r="L154" t="s">
        <v>1020</v>
      </c>
      <c r="M154">
        <v>47</v>
      </c>
      <c r="N154" t="s">
        <v>1025</v>
      </c>
    </row>
    <row r="155" spans="1:14" x14ac:dyDescent="0.3">
      <c r="A155" t="s">
        <v>167</v>
      </c>
      <c r="B155" t="s">
        <v>1032</v>
      </c>
      <c r="C155" t="s">
        <v>1022</v>
      </c>
      <c r="D155" s="1">
        <v>45866</v>
      </c>
      <c r="E155" s="1">
        <v>45880</v>
      </c>
      <c r="F155" t="s">
        <v>1016</v>
      </c>
      <c r="G155" t="s">
        <v>1023</v>
      </c>
      <c r="H155" t="s">
        <v>1016</v>
      </c>
      <c r="I155" t="s">
        <v>1018</v>
      </c>
      <c r="J155" t="s">
        <v>1027</v>
      </c>
      <c r="K155">
        <v>0</v>
      </c>
      <c r="L155" t="s">
        <v>1028</v>
      </c>
      <c r="M155">
        <v>21</v>
      </c>
      <c r="N155" t="s">
        <v>1025</v>
      </c>
    </row>
    <row r="156" spans="1:14" x14ac:dyDescent="0.3">
      <c r="A156" t="s">
        <v>168</v>
      </c>
      <c r="B156" t="s">
        <v>1037</v>
      </c>
      <c r="C156" t="s">
        <v>1033</v>
      </c>
      <c r="D156" s="1">
        <v>45675</v>
      </c>
      <c r="E156" s="1">
        <v>45715</v>
      </c>
      <c r="F156" t="s">
        <v>1018</v>
      </c>
      <c r="G156" t="s">
        <v>1027</v>
      </c>
      <c r="H156" t="s">
        <v>1018</v>
      </c>
      <c r="I156" t="s">
        <v>1018</v>
      </c>
      <c r="J156" t="s">
        <v>1027</v>
      </c>
      <c r="K156">
        <v>0</v>
      </c>
      <c r="L156" t="s">
        <v>1028</v>
      </c>
      <c r="M156">
        <v>60</v>
      </c>
      <c r="N156" t="s">
        <v>1030</v>
      </c>
    </row>
    <row r="157" spans="1:14" x14ac:dyDescent="0.3">
      <c r="A157" t="s">
        <v>169</v>
      </c>
      <c r="B157" t="s">
        <v>1037</v>
      </c>
      <c r="C157" t="s">
        <v>1031</v>
      </c>
      <c r="D157" s="1">
        <v>45791</v>
      </c>
      <c r="E157" s="1">
        <v>45827</v>
      </c>
      <c r="F157" t="s">
        <v>1018</v>
      </c>
      <c r="G157" t="s">
        <v>1017</v>
      </c>
      <c r="H157" t="s">
        <v>1018</v>
      </c>
      <c r="I157" t="s">
        <v>1018</v>
      </c>
      <c r="J157" t="s">
        <v>1019</v>
      </c>
      <c r="K157">
        <v>82587</v>
      </c>
      <c r="L157" t="s">
        <v>1024</v>
      </c>
      <c r="M157">
        <v>57</v>
      </c>
      <c r="N157" t="s">
        <v>1036</v>
      </c>
    </row>
    <row r="158" spans="1:14" x14ac:dyDescent="0.3">
      <c r="A158" t="s">
        <v>170</v>
      </c>
      <c r="B158" t="s">
        <v>1014</v>
      </c>
      <c r="C158" t="s">
        <v>1033</v>
      </c>
      <c r="D158" s="1">
        <v>45995</v>
      </c>
      <c r="E158" s="1">
        <v>46010</v>
      </c>
      <c r="F158" t="s">
        <v>1016</v>
      </c>
      <c r="G158" t="s">
        <v>1023</v>
      </c>
      <c r="H158" t="s">
        <v>1016</v>
      </c>
      <c r="I158" t="s">
        <v>1018</v>
      </c>
      <c r="J158" t="s">
        <v>1027</v>
      </c>
      <c r="K158">
        <v>0</v>
      </c>
      <c r="L158" t="s">
        <v>1028</v>
      </c>
      <c r="M158">
        <v>48</v>
      </c>
      <c r="N158" t="s">
        <v>1030</v>
      </c>
    </row>
    <row r="159" spans="1:14" x14ac:dyDescent="0.3">
      <c r="A159" t="s">
        <v>171</v>
      </c>
      <c r="B159" t="s">
        <v>1026</v>
      </c>
      <c r="C159" t="s">
        <v>1022</v>
      </c>
      <c r="D159" s="1">
        <v>45817</v>
      </c>
      <c r="E159" s="1">
        <v>45855</v>
      </c>
      <c r="F159" t="s">
        <v>1018</v>
      </c>
      <c r="G159" t="s">
        <v>1017</v>
      </c>
      <c r="H159" t="s">
        <v>1018</v>
      </c>
      <c r="I159" t="s">
        <v>1018</v>
      </c>
      <c r="J159" t="s">
        <v>1019</v>
      </c>
      <c r="K159">
        <v>123109</v>
      </c>
      <c r="L159" t="s">
        <v>1020</v>
      </c>
      <c r="M159">
        <v>55</v>
      </c>
      <c r="N159" t="s">
        <v>1030</v>
      </c>
    </row>
    <row r="160" spans="1:14" x14ac:dyDescent="0.3">
      <c r="A160" t="s">
        <v>172</v>
      </c>
      <c r="B160" t="s">
        <v>1014</v>
      </c>
      <c r="C160" t="s">
        <v>1035</v>
      </c>
      <c r="D160" s="1">
        <v>45799</v>
      </c>
      <c r="E160" s="1">
        <v>45835</v>
      </c>
      <c r="F160" t="s">
        <v>1018</v>
      </c>
      <c r="G160" t="s">
        <v>1023</v>
      </c>
      <c r="H160" t="s">
        <v>1016</v>
      </c>
      <c r="I160" t="s">
        <v>1016</v>
      </c>
      <c r="J160" t="s">
        <v>1019</v>
      </c>
      <c r="K160">
        <v>21175</v>
      </c>
      <c r="L160" t="s">
        <v>1020</v>
      </c>
      <c r="M160">
        <v>74</v>
      </c>
      <c r="N160" t="s">
        <v>1021</v>
      </c>
    </row>
    <row r="161" spans="1:14" x14ac:dyDescent="0.3">
      <c r="A161" t="s">
        <v>173</v>
      </c>
      <c r="B161" t="s">
        <v>1014</v>
      </c>
      <c r="C161" t="s">
        <v>1035</v>
      </c>
      <c r="D161" s="1">
        <v>46019</v>
      </c>
      <c r="E161" s="1">
        <v>46063</v>
      </c>
      <c r="F161" t="s">
        <v>1018</v>
      </c>
      <c r="G161" t="s">
        <v>1027</v>
      </c>
      <c r="H161" t="s">
        <v>1018</v>
      </c>
      <c r="I161" t="s">
        <v>1018</v>
      </c>
      <c r="J161" t="s">
        <v>1027</v>
      </c>
      <c r="K161">
        <v>0</v>
      </c>
      <c r="L161" t="s">
        <v>1028</v>
      </c>
      <c r="M161">
        <v>52</v>
      </c>
      <c r="N161" t="s">
        <v>1025</v>
      </c>
    </row>
    <row r="162" spans="1:14" x14ac:dyDescent="0.3">
      <c r="A162" t="s">
        <v>174</v>
      </c>
      <c r="B162" t="s">
        <v>1026</v>
      </c>
      <c r="C162" t="s">
        <v>1033</v>
      </c>
      <c r="D162" s="1">
        <v>45843</v>
      </c>
      <c r="E162" s="1">
        <v>45879</v>
      </c>
      <c r="F162" t="s">
        <v>1018</v>
      </c>
      <c r="G162" t="s">
        <v>1017</v>
      </c>
      <c r="H162" t="s">
        <v>1018</v>
      </c>
      <c r="I162" t="s">
        <v>1018</v>
      </c>
      <c r="J162" t="s">
        <v>1019</v>
      </c>
      <c r="K162">
        <v>6966</v>
      </c>
      <c r="L162" t="s">
        <v>1020</v>
      </c>
      <c r="M162">
        <v>53</v>
      </c>
      <c r="N162" t="s">
        <v>1025</v>
      </c>
    </row>
    <row r="163" spans="1:14" x14ac:dyDescent="0.3">
      <c r="A163" t="s">
        <v>175</v>
      </c>
      <c r="B163" t="s">
        <v>1026</v>
      </c>
      <c r="C163" t="s">
        <v>1033</v>
      </c>
      <c r="D163" s="1">
        <v>45805</v>
      </c>
      <c r="E163" s="1">
        <v>45841</v>
      </c>
      <c r="F163" t="s">
        <v>1018</v>
      </c>
      <c r="G163" t="s">
        <v>1023</v>
      </c>
      <c r="H163" t="s">
        <v>1016</v>
      </c>
      <c r="I163" t="s">
        <v>1016</v>
      </c>
      <c r="J163" t="s">
        <v>1019</v>
      </c>
      <c r="K163">
        <v>147077</v>
      </c>
      <c r="L163" t="s">
        <v>1020</v>
      </c>
      <c r="M163">
        <v>53</v>
      </c>
      <c r="N163" t="s">
        <v>1025</v>
      </c>
    </row>
    <row r="164" spans="1:14" x14ac:dyDescent="0.3">
      <c r="A164" t="s">
        <v>176</v>
      </c>
      <c r="B164" t="s">
        <v>1026</v>
      </c>
      <c r="C164" t="s">
        <v>1033</v>
      </c>
      <c r="D164" s="1">
        <v>45979</v>
      </c>
      <c r="E164" s="1">
        <v>46011</v>
      </c>
      <c r="F164" t="s">
        <v>1018</v>
      </c>
      <c r="G164" t="s">
        <v>1023</v>
      </c>
      <c r="H164" t="s">
        <v>1016</v>
      </c>
      <c r="I164" t="s">
        <v>1016</v>
      </c>
      <c r="J164" t="s">
        <v>1019</v>
      </c>
      <c r="K164">
        <v>72544</v>
      </c>
      <c r="L164" t="s">
        <v>1020</v>
      </c>
      <c r="M164">
        <v>60</v>
      </c>
      <c r="N164" t="s">
        <v>1025</v>
      </c>
    </row>
    <row r="165" spans="1:14" x14ac:dyDescent="0.3">
      <c r="A165" t="s">
        <v>177</v>
      </c>
      <c r="B165" t="s">
        <v>1026</v>
      </c>
      <c r="C165" t="s">
        <v>1022</v>
      </c>
      <c r="D165" s="1">
        <v>45910</v>
      </c>
      <c r="E165" s="1">
        <v>45916</v>
      </c>
      <c r="F165" t="s">
        <v>1016</v>
      </c>
      <c r="G165" t="s">
        <v>1017</v>
      </c>
      <c r="H165" t="s">
        <v>1018</v>
      </c>
      <c r="I165" t="s">
        <v>1018</v>
      </c>
      <c r="J165" t="s">
        <v>1019</v>
      </c>
      <c r="K165">
        <v>72817</v>
      </c>
      <c r="L165" t="s">
        <v>1020</v>
      </c>
      <c r="M165">
        <v>15</v>
      </c>
      <c r="N165" t="s">
        <v>1030</v>
      </c>
    </row>
    <row r="166" spans="1:14" x14ac:dyDescent="0.3">
      <c r="A166" t="s">
        <v>178</v>
      </c>
      <c r="B166" t="s">
        <v>1032</v>
      </c>
      <c r="C166" t="s">
        <v>1015</v>
      </c>
      <c r="D166" s="1">
        <v>45666</v>
      </c>
      <c r="E166" s="1">
        <v>45682</v>
      </c>
      <c r="F166" t="s">
        <v>1016</v>
      </c>
      <c r="G166" t="s">
        <v>1023</v>
      </c>
      <c r="H166" t="s">
        <v>1016</v>
      </c>
      <c r="I166" t="s">
        <v>1016</v>
      </c>
      <c r="J166" t="s">
        <v>1019</v>
      </c>
      <c r="K166">
        <v>157705</v>
      </c>
      <c r="L166" t="s">
        <v>1020</v>
      </c>
      <c r="M166">
        <v>27</v>
      </c>
      <c r="N166" t="s">
        <v>1036</v>
      </c>
    </row>
    <row r="167" spans="1:14" x14ac:dyDescent="0.3">
      <c r="A167" t="s">
        <v>179</v>
      </c>
      <c r="B167" t="s">
        <v>1029</v>
      </c>
      <c r="C167" t="s">
        <v>1033</v>
      </c>
      <c r="D167" s="1">
        <v>45706</v>
      </c>
      <c r="E167" s="1">
        <v>45737</v>
      </c>
      <c r="F167" t="s">
        <v>1018</v>
      </c>
      <c r="G167" t="s">
        <v>1023</v>
      </c>
      <c r="H167" t="s">
        <v>1016</v>
      </c>
      <c r="I167" t="s">
        <v>1016</v>
      </c>
      <c r="J167" t="s">
        <v>1019</v>
      </c>
      <c r="K167">
        <v>66558</v>
      </c>
      <c r="L167" t="s">
        <v>1020</v>
      </c>
      <c r="M167">
        <v>46</v>
      </c>
      <c r="N167" t="s">
        <v>1030</v>
      </c>
    </row>
    <row r="168" spans="1:14" x14ac:dyDescent="0.3">
      <c r="A168" t="s">
        <v>180</v>
      </c>
      <c r="B168" t="s">
        <v>1026</v>
      </c>
      <c r="C168" t="s">
        <v>1015</v>
      </c>
      <c r="D168" s="1">
        <v>45993</v>
      </c>
      <c r="E168" s="1">
        <v>45995</v>
      </c>
      <c r="F168" t="s">
        <v>1016</v>
      </c>
      <c r="G168" t="s">
        <v>1023</v>
      </c>
      <c r="H168" t="s">
        <v>1016</v>
      </c>
      <c r="I168" t="s">
        <v>1018</v>
      </c>
      <c r="J168" t="s">
        <v>1027</v>
      </c>
      <c r="K168">
        <v>0</v>
      </c>
      <c r="L168" t="s">
        <v>1028</v>
      </c>
      <c r="M168">
        <v>9</v>
      </c>
      <c r="N168" t="s">
        <v>1021</v>
      </c>
    </row>
    <row r="169" spans="1:14" x14ac:dyDescent="0.3">
      <c r="A169" t="s">
        <v>181</v>
      </c>
      <c r="B169" t="s">
        <v>1026</v>
      </c>
      <c r="C169" t="s">
        <v>1035</v>
      </c>
      <c r="D169" s="1">
        <v>45974</v>
      </c>
      <c r="E169" s="1">
        <v>46007</v>
      </c>
      <c r="F169" t="s">
        <v>1018</v>
      </c>
      <c r="G169" t="s">
        <v>1023</v>
      </c>
      <c r="H169" t="s">
        <v>1016</v>
      </c>
      <c r="I169" t="s">
        <v>1016</v>
      </c>
      <c r="J169" t="s">
        <v>1019</v>
      </c>
      <c r="K169">
        <v>108086</v>
      </c>
      <c r="L169" t="s">
        <v>1024</v>
      </c>
      <c r="M169">
        <v>57</v>
      </c>
      <c r="N169" t="s">
        <v>1036</v>
      </c>
    </row>
    <row r="170" spans="1:14" x14ac:dyDescent="0.3">
      <c r="A170" t="s">
        <v>182</v>
      </c>
      <c r="B170" t="s">
        <v>1026</v>
      </c>
      <c r="C170" t="s">
        <v>1015</v>
      </c>
      <c r="D170" s="1">
        <v>45801</v>
      </c>
      <c r="E170" s="1">
        <v>45828</v>
      </c>
      <c r="F170" t="s">
        <v>1016</v>
      </c>
      <c r="G170" t="s">
        <v>1027</v>
      </c>
      <c r="H170" t="s">
        <v>1018</v>
      </c>
      <c r="I170" t="s">
        <v>1018</v>
      </c>
      <c r="J170" t="s">
        <v>1027</v>
      </c>
      <c r="K170">
        <v>0</v>
      </c>
      <c r="L170" t="s">
        <v>1028</v>
      </c>
      <c r="M170">
        <v>57</v>
      </c>
      <c r="N170" t="s">
        <v>1036</v>
      </c>
    </row>
    <row r="171" spans="1:14" x14ac:dyDescent="0.3">
      <c r="A171" t="s">
        <v>183</v>
      </c>
      <c r="B171" t="s">
        <v>1026</v>
      </c>
      <c r="C171" t="s">
        <v>1015</v>
      </c>
      <c r="D171" s="1">
        <v>45958</v>
      </c>
      <c r="E171" s="1">
        <v>45963</v>
      </c>
      <c r="F171" t="s">
        <v>1016</v>
      </c>
      <c r="G171" t="s">
        <v>1017</v>
      </c>
      <c r="H171" t="s">
        <v>1018</v>
      </c>
      <c r="I171" t="s">
        <v>1018</v>
      </c>
      <c r="J171" t="s">
        <v>1019</v>
      </c>
      <c r="K171">
        <v>111539</v>
      </c>
      <c r="L171" t="s">
        <v>1020</v>
      </c>
      <c r="M171">
        <v>22</v>
      </c>
      <c r="N171" t="s">
        <v>1030</v>
      </c>
    </row>
    <row r="172" spans="1:14" x14ac:dyDescent="0.3">
      <c r="A172" t="s">
        <v>184</v>
      </c>
      <c r="B172" t="s">
        <v>1032</v>
      </c>
      <c r="C172" t="s">
        <v>1015</v>
      </c>
      <c r="D172" s="1">
        <v>45799</v>
      </c>
      <c r="E172" s="1">
        <v>45801</v>
      </c>
      <c r="F172" t="s">
        <v>1016</v>
      </c>
      <c r="G172" t="s">
        <v>1017</v>
      </c>
      <c r="H172" t="s">
        <v>1018</v>
      </c>
      <c r="I172" t="s">
        <v>1018</v>
      </c>
      <c r="J172" t="s">
        <v>1019</v>
      </c>
      <c r="K172">
        <v>15799</v>
      </c>
      <c r="L172" t="s">
        <v>1020</v>
      </c>
      <c r="M172">
        <v>15</v>
      </c>
      <c r="N172" t="s">
        <v>1021</v>
      </c>
    </row>
    <row r="173" spans="1:14" x14ac:dyDescent="0.3">
      <c r="A173" t="s">
        <v>185</v>
      </c>
      <c r="B173" t="s">
        <v>1014</v>
      </c>
      <c r="C173" t="s">
        <v>1031</v>
      </c>
      <c r="D173" s="1">
        <v>45892</v>
      </c>
      <c r="E173" s="1">
        <v>45897</v>
      </c>
      <c r="F173" t="s">
        <v>1016</v>
      </c>
      <c r="G173" t="s">
        <v>1027</v>
      </c>
      <c r="H173" t="s">
        <v>1018</v>
      </c>
      <c r="I173" t="s">
        <v>1018</v>
      </c>
      <c r="J173" t="s">
        <v>1027</v>
      </c>
      <c r="K173">
        <v>0</v>
      </c>
      <c r="L173" t="s">
        <v>1028</v>
      </c>
      <c r="M173">
        <v>10</v>
      </c>
      <c r="N173" t="s">
        <v>1036</v>
      </c>
    </row>
    <row r="174" spans="1:14" x14ac:dyDescent="0.3">
      <c r="A174" t="s">
        <v>186</v>
      </c>
      <c r="B174" t="s">
        <v>1026</v>
      </c>
      <c r="C174" t="s">
        <v>1031</v>
      </c>
      <c r="D174" s="1">
        <v>45954</v>
      </c>
      <c r="E174" s="1">
        <v>45989</v>
      </c>
      <c r="F174" t="s">
        <v>1018</v>
      </c>
      <c r="G174" t="s">
        <v>1027</v>
      </c>
      <c r="H174" t="s">
        <v>1018</v>
      </c>
      <c r="I174" t="s">
        <v>1018</v>
      </c>
      <c r="J174" t="s">
        <v>1027</v>
      </c>
      <c r="K174">
        <v>0</v>
      </c>
      <c r="L174" t="s">
        <v>1028</v>
      </c>
      <c r="M174">
        <v>45</v>
      </c>
      <c r="N174" t="s">
        <v>1025</v>
      </c>
    </row>
    <row r="175" spans="1:14" x14ac:dyDescent="0.3">
      <c r="A175" t="s">
        <v>187</v>
      </c>
      <c r="B175" t="s">
        <v>1037</v>
      </c>
      <c r="C175" t="s">
        <v>1033</v>
      </c>
      <c r="D175" s="1">
        <v>45714</v>
      </c>
      <c r="E175" s="1">
        <v>45726</v>
      </c>
      <c r="F175" t="s">
        <v>1016</v>
      </c>
      <c r="G175" t="s">
        <v>1027</v>
      </c>
      <c r="H175" t="s">
        <v>1018</v>
      </c>
      <c r="I175" t="s">
        <v>1018</v>
      </c>
      <c r="J175" t="s">
        <v>1027</v>
      </c>
      <c r="K175">
        <v>0</v>
      </c>
      <c r="L175" t="s">
        <v>1028</v>
      </c>
      <c r="M175">
        <v>41</v>
      </c>
      <c r="N175" t="s">
        <v>1030</v>
      </c>
    </row>
    <row r="176" spans="1:14" x14ac:dyDescent="0.3">
      <c r="A176" t="s">
        <v>188</v>
      </c>
      <c r="B176" t="s">
        <v>1037</v>
      </c>
      <c r="C176" t="s">
        <v>1031</v>
      </c>
      <c r="D176" s="1">
        <v>45750</v>
      </c>
      <c r="E176" s="1">
        <v>45760</v>
      </c>
      <c r="F176" t="s">
        <v>1016</v>
      </c>
      <c r="G176" t="s">
        <v>1027</v>
      </c>
      <c r="H176" t="s">
        <v>1018</v>
      </c>
      <c r="I176" t="s">
        <v>1018</v>
      </c>
      <c r="J176" t="s">
        <v>1027</v>
      </c>
      <c r="K176">
        <v>0</v>
      </c>
      <c r="L176" t="s">
        <v>1028</v>
      </c>
      <c r="M176">
        <v>27</v>
      </c>
      <c r="N176" t="s">
        <v>1030</v>
      </c>
    </row>
    <row r="177" spans="1:14" x14ac:dyDescent="0.3">
      <c r="A177" t="s">
        <v>189</v>
      </c>
      <c r="B177" t="s">
        <v>1032</v>
      </c>
      <c r="C177" t="s">
        <v>1022</v>
      </c>
      <c r="D177" s="1">
        <v>45804</v>
      </c>
      <c r="E177" s="1">
        <v>45810</v>
      </c>
      <c r="F177" t="s">
        <v>1016</v>
      </c>
      <c r="G177" t="s">
        <v>1023</v>
      </c>
      <c r="H177" t="s">
        <v>1016</v>
      </c>
      <c r="I177" t="s">
        <v>1016</v>
      </c>
      <c r="J177" t="s">
        <v>1019</v>
      </c>
      <c r="K177">
        <v>77247</v>
      </c>
      <c r="L177" t="s">
        <v>1020</v>
      </c>
      <c r="M177">
        <v>22</v>
      </c>
      <c r="N177" t="s">
        <v>1021</v>
      </c>
    </row>
    <row r="178" spans="1:14" x14ac:dyDescent="0.3">
      <c r="A178" t="s">
        <v>190</v>
      </c>
      <c r="B178" t="s">
        <v>1037</v>
      </c>
      <c r="C178" t="s">
        <v>1022</v>
      </c>
      <c r="D178" s="1">
        <v>46010</v>
      </c>
      <c r="E178" s="1">
        <v>46012</v>
      </c>
      <c r="F178" t="s">
        <v>1016</v>
      </c>
      <c r="G178" t="s">
        <v>1017</v>
      </c>
      <c r="H178" t="s">
        <v>1018</v>
      </c>
      <c r="I178" t="s">
        <v>1018</v>
      </c>
      <c r="J178" t="s">
        <v>1019</v>
      </c>
      <c r="K178">
        <v>70396</v>
      </c>
      <c r="L178" t="s">
        <v>1020</v>
      </c>
      <c r="M178">
        <v>31</v>
      </c>
      <c r="N178" t="s">
        <v>1025</v>
      </c>
    </row>
    <row r="179" spans="1:14" x14ac:dyDescent="0.3">
      <c r="A179" t="s">
        <v>191</v>
      </c>
      <c r="B179" t="s">
        <v>1032</v>
      </c>
      <c r="C179" t="s">
        <v>1015</v>
      </c>
      <c r="D179" s="1">
        <v>45744</v>
      </c>
      <c r="E179" s="1">
        <v>45762</v>
      </c>
      <c r="F179" t="s">
        <v>1016</v>
      </c>
      <c r="G179" t="s">
        <v>1017</v>
      </c>
      <c r="H179" t="s">
        <v>1018</v>
      </c>
      <c r="I179" t="s">
        <v>1018</v>
      </c>
      <c r="J179" t="s">
        <v>1019</v>
      </c>
      <c r="K179">
        <v>53855</v>
      </c>
      <c r="L179" t="s">
        <v>1020</v>
      </c>
      <c r="M179">
        <v>58</v>
      </c>
      <c r="N179" t="s">
        <v>1021</v>
      </c>
    </row>
    <row r="180" spans="1:14" x14ac:dyDescent="0.3">
      <c r="A180" t="s">
        <v>192</v>
      </c>
      <c r="B180" t="s">
        <v>1014</v>
      </c>
      <c r="C180" t="s">
        <v>1031</v>
      </c>
      <c r="D180" s="1">
        <v>45967</v>
      </c>
      <c r="E180" s="1">
        <v>45977</v>
      </c>
      <c r="F180" t="s">
        <v>1016</v>
      </c>
      <c r="G180" t="s">
        <v>1023</v>
      </c>
      <c r="H180" t="s">
        <v>1016</v>
      </c>
      <c r="I180" t="s">
        <v>1016</v>
      </c>
      <c r="J180" t="s">
        <v>1019</v>
      </c>
      <c r="K180">
        <v>123412</v>
      </c>
      <c r="L180" t="s">
        <v>1020</v>
      </c>
      <c r="M180">
        <v>35</v>
      </c>
      <c r="N180" t="s">
        <v>1030</v>
      </c>
    </row>
    <row r="181" spans="1:14" x14ac:dyDescent="0.3">
      <c r="A181" t="s">
        <v>193</v>
      </c>
      <c r="B181" t="s">
        <v>1034</v>
      </c>
      <c r="C181" t="s">
        <v>1015</v>
      </c>
      <c r="D181" s="1">
        <v>45769</v>
      </c>
      <c r="E181" s="1">
        <v>45773</v>
      </c>
      <c r="F181" t="s">
        <v>1016</v>
      </c>
      <c r="G181" t="s">
        <v>1027</v>
      </c>
      <c r="H181" t="s">
        <v>1018</v>
      </c>
      <c r="I181" t="s">
        <v>1018</v>
      </c>
      <c r="J181" t="s">
        <v>1027</v>
      </c>
      <c r="K181">
        <v>0</v>
      </c>
      <c r="L181" t="s">
        <v>1028</v>
      </c>
      <c r="M181">
        <v>24</v>
      </c>
      <c r="N181" t="s">
        <v>1021</v>
      </c>
    </row>
    <row r="182" spans="1:14" x14ac:dyDescent="0.3">
      <c r="A182" t="s">
        <v>194</v>
      </c>
      <c r="B182" t="s">
        <v>1032</v>
      </c>
      <c r="C182" t="s">
        <v>1035</v>
      </c>
      <c r="D182" s="1">
        <v>45967</v>
      </c>
      <c r="E182" s="1">
        <v>45978</v>
      </c>
      <c r="F182" t="s">
        <v>1016</v>
      </c>
      <c r="G182" t="s">
        <v>1023</v>
      </c>
      <c r="H182" t="s">
        <v>1016</v>
      </c>
      <c r="I182" t="s">
        <v>1016</v>
      </c>
      <c r="J182" t="s">
        <v>1019</v>
      </c>
      <c r="K182">
        <v>135242</v>
      </c>
      <c r="L182" t="s">
        <v>1020</v>
      </c>
      <c r="M182">
        <v>42</v>
      </c>
      <c r="N182" t="s">
        <v>1030</v>
      </c>
    </row>
    <row r="183" spans="1:14" x14ac:dyDescent="0.3">
      <c r="A183" t="s">
        <v>195</v>
      </c>
      <c r="B183" t="s">
        <v>1037</v>
      </c>
      <c r="C183" t="s">
        <v>1022</v>
      </c>
      <c r="D183" s="1">
        <v>45887</v>
      </c>
      <c r="E183" s="1">
        <v>45906</v>
      </c>
      <c r="F183" t="s">
        <v>1016</v>
      </c>
      <c r="G183" t="s">
        <v>1027</v>
      </c>
      <c r="H183" t="s">
        <v>1018</v>
      </c>
      <c r="I183" t="s">
        <v>1018</v>
      </c>
      <c r="J183" t="s">
        <v>1027</v>
      </c>
      <c r="K183">
        <v>0</v>
      </c>
      <c r="L183" t="s">
        <v>1028</v>
      </c>
      <c r="M183">
        <v>25</v>
      </c>
      <c r="N183" t="s">
        <v>1036</v>
      </c>
    </row>
    <row r="184" spans="1:14" x14ac:dyDescent="0.3">
      <c r="A184" t="s">
        <v>196</v>
      </c>
      <c r="B184" t="s">
        <v>1014</v>
      </c>
      <c r="C184" t="s">
        <v>1022</v>
      </c>
      <c r="D184" s="1">
        <v>45863</v>
      </c>
      <c r="E184" s="1">
        <v>45906</v>
      </c>
      <c r="F184" t="s">
        <v>1018</v>
      </c>
      <c r="G184" t="s">
        <v>1027</v>
      </c>
      <c r="H184" t="s">
        <v>1018</v>
      </c>
      <c r="I184" t="s">
        <v>1018</v>
      </c>
      <c r="J184" t="s">
        <v>1027</v>
      </c>
      <c r="K184">
        <v>0</v>
      </c>
      <c r="L184" t="s">
        <v>1028</v>
      </c>
      <c r="M184">
        <v>62</v>
      </c>
      <c r="N184" t="s">
        <v>1021</v>
      </c>
    </row>
    <row r="185" spans="1:14" x14ac:dyDescent="0.3">
      <c r="A185" t="s">
        <v>197</v>
      </c>
      <c r="B185" t="s">
        <v>1032</v>
      </c>
      <c r="C185" t="s">
        <v>1015</v>
      </c>
      <c r="D185" s="1">
        <v>45733</v>
      </c>
      <c r="E185" s="1">
        <v>45738</v>
      </c>
      <c r="F185" t="s">
        <v>1016</v>
      </c>
      <c r="G185" t="s">
        <v>1027</v>
      </c>
      <c r="H185" t="s">
        <v>1018</v>
      </c>
      <c r="I185" t="s">
        <v>1018</v>
      </c>
      <c r="J185" t="s">
        <v>1027</v>
      </c>
      <c r="K185">
        <v>0</v>
      </c>
      <c r="L185" t="s">
        <v>1028</v>
      </c>
      <c r="M185">
        <v>38</v>
      </c>
      <c r="N185" t="s">
        <v>1025</v>
      </c>
    </row>
    <row r="186" spans="1:14" x14ac:dyDescent="0.3">
      <c r="A186" t="s">
        <v>198</v>
      </c>
      <c r="B186" t="s">
        <v>1032</v>
      </c>
      <c r="C186" t="s">
        <v>1022</v>
      </c>
      <c r="D186" s="1">
        <v>46001</v>
      </c>
      <c r="E186" s="1">
        <v>46040</v>
      </c>
      <c r="F186" t="s">
        <v>1018</v>
      </c>
      <c r="G186" t="s">
        <v>1027</v>
      </c>
      <c r="H186" t="s">
        <v>1018</v>
      </c>
      <c r="I186" t="s">
        <v>1018</v>
      </c>
      <c r="J186" t="s">
        <v>1027</v>
      </c>
      <c r="K186">
        <v>0</v>
      </c>
      <c r="L186" t="s">
        <v>1028</v>
      </c>
      <c r="M186">
        <v>76</v>
      </c>
      <c r="N186" t="s">
        <v>1021</v>
      </c>
    </row>
    <row r="187" spans="1:14" x14ac:dyDescent="0.3">
      <c r="A187" t="s">
        <v>199</v>
      </c>
      <c r="B187" t="s">
        <v>1037</v>
      </c>
      <c r="C187" t="s">
        <v>1033</v>
      </c>
      <c r="D187" s="1">
        <v>45724</v>
      </c>
      <c r="E187" s="1">
        <v>45730</v>
      </c>
      <c r="F187" t="s">
        <v>1016</v>
      </c>
      <c r="G187" t="s">
        <v>1027</v>
      </c>
      <c r="H187" t="s">
        <v>1018</v>
      </c>
      <c r="I187" t="s">
        <v>1018</v>
      </c>
      <c r="J187" t="s">
        <v>1027</v>
      </c>
      <c r="K187">
        <v>0</v>
      </c>
      <c r="L187" t="s">
        <v>1028</v>
      </c>
      <c r="M187">
        <v>30</v>
      </c>
      <c r="N187" t="s">
        <v>1025</v>
      </c>
    </row>
    <row r="188" spans="1:14" x14ac:dyDescent="0.3">
      <c r="A188" t="s">
        <v>200</v>
      </c>
      <c r="B188" t="s">
        <v>1037</v>
      </c>
      <c r="C188" t="s">
        <v>1015</v>
      </c>
      <c r="D188" s="1">
        <v>45845</v>
      </c>
      <c r="E188" s="1">
        <v>45879</v>
      </c>
      <c r="F188" t="s">
        <v>1018</v>
      </c>
      <c r="G188" t="s">
        <v>1017</v>
      </c>
      <c r="H188" t="s">
        <v>1018</v>
      </c>
      <c r="I188" t="s">
        <v>1018</v>
      </c>
      <c r="J188" t="s">
        <v>1019</v>
      </c>
      <c r="K188">
        <v>160201</v>
      </c>
      <c r="L188" t="s">
        <v>1020</v>
      </c>
      <c r="M188">
        <v>64</v>
      </c>
      <c r="N188" t="s">
        <v>1025</v>
      </c>
    </row>
    <row r="189" spans="1:14" x14ac:dyDescent="0.3">
      <c r="A189" t="s">
        <v>201</v>
      </c>
      <c r="B189" t="s">
        <v>1014</v>
      </c>
      <c r="C189" t="s">
        <v>1015</v>
      </c>
      <c r="D189" s="1">
        <v>45789</v>
      </c>
      <c r="E189" s="1">
        <v>45819</v>
      </c>
      <c r="F189" t="s">
        <v>1016</v>
      </c>
      <c r="G189" t="s">
        <v>1017</v>
      </c>
      <c r="H189" t="s">
        <v>1018</v>
      </c>
      <c r="I189" t="s">
        <v>1018</v>
      </c>
      <c r="J189" t="s">
        <v>1019</v>
      </c>
      <c r="K189">
        <v>60108</v>
      </c>
      <c r="L189" t="s">
        <v>1020</v>
      </c>
      <c r="M189">
        <v>40</v>
      </c>
      <c r="N189" t="s">
        <v>1036</v>
      </c>
    </row>
    <row r="190" spans="1:14" x14ac:dyDescent="0.3">
      <c r="A190" t="s">
        <v>202</v>
      </c>
      <c r="B190" t="s">
        <v>1029</v>
      </c>
      <c r="C190" t="s">
        <v>1015</v>
      </c>
      <c r="D190" s="1">
        <v>45681</v>
      </c>
      <c r="E190" s="1">
        <v>45687</v>
      </c>
      <c r="F190" t="s">
        <v>1016</v>
      </c>
      <c r="G190" t="s">
        <v>1023</v>
      </c>
      <c r="H190" t="s">
        <v>1016</v>
      </c>
      <c r="I190" t="s">
        <v>1016</v>
      </c>
      <c r="J190" t="s">
        <v>1019</v>
      </c>
      <c r="K190">
        <v>64422</v>
      </c>
      <c r="L190" t="s">
        <v>1020</v>
      </c>
      <c r="M190">
        <v>16</v>
      </c>
      <c r="N190" t="s">
        <v>1030</v>
      </c>
    </row>
    <row r="191" spans="1:14" x14ac:dyDescent="0.3">
      <c r="A191" t="s">
        <v>203</v>
      </c>
      <c r="B191" t="s">
        <v>1014</v>
      </c>
      <c r="C191" t="s">
        <v>1033</v>
      </c>
      <c r="D191" s="1">
        <v>45834</v>
      </c>
      <c r="E191" s="1">
        <v>45860</v>
      </c>
      <c r="F191" t="s">
        <v>1016</v>
      </c>
      <c r="G191" t="s">
        <v>1023</v>
      </c>
      <c r="H191" t="s">
        <v>1016</v>
      </c>
      <c r="I191" t="s">
        <v>1018</v>
      </c>
      <c r="J191" t="s">
        <v>1027</v>
      </c>
      <c r="K191">
        <v>0</v>
      </c>
      <c r="L191" t="s">
        <v>1028</v>
      </c>
      <c r="M191">
        <v>50</v>
      </c>
      <c r="N191" t="s">
        <v>1030</v>
      </c>
    </row>
    <row r="192" spans="1:14" x14ac:dyDescent="0.3">
      <c r="A192" t="s">
        <v>204</v>
      </c>
      <c r="B192" t="s">
        <v>1014</v>
      </c>
      <c r="C192" t="s">
        <v>1022</v>
      </c>
      <c r="D192" s="1">
        <v>45803</v>
      </c>
      <c r="E192" s="1">
        <v>45819</v>
      </c>
      <c r="F192" t="s">
        <v>1016</v>
      </c>
      <c r="G192" t="s">
        <v>1023</v>
      </c>
      <c r="H192" t="s">
        <v>1016</v>
      </c>
      <c r="I192" t="s">
        <v>1016</v>
      </c>
      <c r="J192" t="s">
        <v>1019</v>
      </c>
      <c r="K192">
        <v>104729</v>
      </c>
      <c r="L192" t="s">
        <v>1024</v>
      </c>
      <c r="M192">
        <v>27</v>
      </c>
      <c r="N192" t="s">
        <v>1036</v>
      </c>
    </row>
    <row r="193" spans="1:14" x14ac:dyDescent="0.3">
      <c r="A193" t="s">
        <v>205</v>
      </c>
      <c r="B193" t="s">
        <v>1026</v>
      </c>
      <c r="C193" t="s">
        <v>1015</v>
      </c>
      <c r="D193" s="1">
        <v>45941</v>
      </c>
      <c r="E193" s="1">
        <v>45948</v>
      </c>
      <c r="F193" t="s">
        <v>1016</v>
      </c>
      <c r="G193" t="s">
        <v>1017</v>
      </c>
      <c r="H193" t="s">
        <v>1018</v>
      </c>
      <c r="I193" t="s">
        <v>1018</v>
      </c>
      <c r="J193" t="s">
        <v>1019</v>
      </c>
      <c r="K193">
        <v>79592</v>
      </c>
      <c r="L193" t="s">
        <v>1020</v>
      </c>
      <c r="M193">
        <v>44</v>
      </c>
      <c r="N193" t="s">
        <v>1036</v>
      </c>
    </row>
    <row r="194" spans="1:14" x14ac:dyDescent="0.3">
      <c r="A194" t="s">
        <v>206</v>
      </c>
      <c r="B194" t="s">
        <v>1032</v>
      </c>
      <c r="C194" t="s">
        <v>1033</v>
      </c>
      <c r="D194" s="1">
        <v>45857</v>
      </c>
      <c r="E194" s="1">
        <v>45882</v>
      </c>
      <c r="F194" t="s">
        <v>1016</v>
      </c>
      <c r="G194" t="s">
        <v>1027</v>
      </c>
      <c r="H194" t="s">
        <v>1018</v>
      </c>
      <c r="I194" t="s">
        <v>1018</v>
      </c>
      <c r="J194" t="s">
        <v>1027</v>
      </c>
      <c r="K194">
        <v>0</v>
      </c>
      <c r="L194" t="s">
        <v>1028</v>
      </c>
      <c r="M194">
        <v>45</v>
      </c>
      <c r="N194" t="s">
        <v>1021</v>
      </c>
    </row>
    <row r="195" spans="1:14" x14ac:dyDescent="0.3">
      <c r="A195" t="s">
        <v>207</v>
      </c>
      <c r="B195" t="s">
        <v>1029</v>
      </c>
      <c r="C195" t="s">
        <v>1015</v>
      </c>
      <c r="D195" s="1">
        <v>45724</v>
      </c>
      <c r="E195" s="1">
        <v>45759</v>
      </c>
      <c r="F195" t="s">
        <v>1018</v>
      </c>
      <c r="G195" t="s">
        <v>1027</v>
      </c>
      <c r="H195" t="s">
        <v>1018</v>
      </c>
      <c r="I195" t="s">
        <v>1018</v>
      </c>
      <c r="J195" t="s">
        <v>1027</v>
      </c>
      <c r="K195">
        <v>0</v>
      </c>
      <c r="L195" t="s">
        <v>1028</v>
      </c>
      <c r="M195">
        <v>47</v>
      </c>
      <c r="N195" t="s">
        <v>1030</v>
      </c>
    </row>
    <row r="196" spans="1:14" x14ac:dyDescent="0.3">
      <c r="A196" t="s">
        <v>208</v>
      </c>
      <c r="B196" t="s">
        <v>1026</v>
      </c>
      <c r="C196" t="s">
        <v>1022</v>
      </c>
      <c r="D196" s="1">
        <v>45908</v>
      </c>
      <c r="E196" s="1">
        <v>45916</v>
      </c>
      <c r="F196" t="s">
        <v>1016</v>
      </c>
      <c r="G196" t="s">
        <v>1017</v>
      </c>
      <c r="H196" t="s">
        <v>1018</v>
      </c>
      <c r="I196" t="s">
        <v>1018</v>
      </c>
      <c r="J196" t="s">
        <v>1019</v>
      </c>
      <c r="K196">
        <v>30797</v>
      </c>
      <c r="L196" t="s">
        <v>1020</v>
      </c>
      <c r="M196">
        <v>28</v>
      </c>
      <c r="N196" t="s">
        <v>1021</v>
      </c>
    </row>
    <row r="197" spans="1:14" x14ac:dyDescent="0.3">
      <c r="A197" t="s">
        <v>209</v>
      </c>
      <c r="B197" t="s">
        <v>1032</v>
      </c>
      <c r="C197" t="s">
        <v>1035</v>
      </c>
      <c r="D197" s="1">
        <v>45690</v>
      </c>
      <c r="E197" s="1">
        <v>45703</v>
      </c>
      <c r="F197" t="s">
        <v>1016</v>
      </c>
      <c r="G197" t="s">
        <v>1023</v>
      </c>
      <c r="H197" t="s">
        <v>1016</v>
      </c>
      <c r="I197" t="s">
        <v>1016</v>
      </c>
      <c r="J197" t="s">
        <v>1019</v>
      </c>
      <c r="K197">
        <v>46094</v>
      </c>
      <c r="L197" t="s">
        <v>1020</v>
      </c>
      <c r="M197">
        <v>33</v>
      </c>
      <c r="N197" t="s">
        <v>1025</v>
      </c>
    </row>
    <row r="198" spans="1:14" x14ac:dyDescent="0.3">
      <c r="A198" t="s">
        <v>210</v>
      </c>
      <c r="B198" t="s">
        <v>1032</v>
      </c>
      <c r="C198" t="s">
        <v>1015</v>
      </c>
      <c r="D198" s="1">
        <v>45874</v>
      </c>
      <c r="E198" s="1">
        <v>45902</v>
      </c>
      <c r="F198" t="s">
        <v>1016</v>
      </c>
      <c r="G198" t="s">
        <v>1027</v>
      </c>
      <c r="H198" t="s">
        <v>1018</v>
      </c>
      <c r="I198" t="s">
        <v>1018</v>
      </c>
      <c r="J198" t="s">
        <v>1027</v>
      </c>
      <c r="K198">
        <v>0</v>
      </c>
      <c r="L198" t="s">
        <v>1028</v>
      </c>
      <c r="M198">
        <v>55</v>
      </c>
      <c r="N198" t="s">
        <v>1021</v>
      </c>
    </row>
    <row r="199" spans="1:14" x14ac:dyDescent="0.3">
      <c r="A199" t="s">
        <v>211</v>
      </c>
      <c r="B199" t="s">
        <v>1026</v>
      </c>
      <c r="C199" t="s">
        <v>1022</v>
      </c>
      <c r="D199" s="1">
        <v>45775</v>
      </c>
      <c r="E199" s="1">
        <v>45813</v>
      </c>
      <c r="F199" t="s">
        <v>1018</v>
      </c>
      <c r="G199" t="s">
        <v>1027</v>
      </c>
      <c r="H199" t="s">
        <v>1018</v>
      </c>
      <c r="I199" t="s">
        <v>1018</v>
      </c>
      <c r="J199" t="s">
        <v>1027</v>
      </c>
      <c r="K199">
        <v>0</v>
      </c>
      <c r="L199" t="s">
        <v>1028</v>
      </c>
      <c r="M199">
        <v>60</v>
      </c>
      <c r="N199" t="s">
        <v>1021</v>
      </c>
    </row>
    <row r="200" spans="1:14" x14ac:dyDescent="0.3">
      <c r="A200" t="s">
        <v>212</v>
      </c>
      <c r="B200" t="s">
        <v>1034</v>
      </c>
      <c r="C200" t="s">
        <v>1022</v>
      </c>
      <c r="D200" s="1">
        <v>46019</v>
      </c>
      <c r="E200" s="1">
        <v>46045</v>
      </c>
      <c r="F200" t="s">
        <v>1016</v>
      </c>
      <c r="G200" t="s">
        <v>1017</v>
      </c>
      <c r="H200" t="s">
        <v>1018</v>
      </c>
      <c r="I200" t="s">
        <v>1018</v>
      </c>
      <c r="J200" t="s">
        <v>1019</v>
      </c>
      <c r="K200">
        <v>118974</v>
      </c>
      <c r="L200" t="s">
        <v>1020</v>
      </c>
      <c r="M200">
        <v>36</v>
      </c>
      <c r="N200" t="s">
        <v>1025</v>
      </c>
    </row>
    <row r="201" spans="1:14" x14ac:dyDescent="0.3">
      <c r="A201" t="s">
        <v>213</v>
      </c>
      <c r="B201" t="s">
        <v>1014</v>
      </c>
      <c r="C201" t="s">
        <v>1033</v>
      </c>
      <c r="D201" s="1">
        <v>45864</v>
      </c>
      <c r="E201" s="1">
        <v>45887</v>
      </c>
      <c r="F201" t="s">
        <v>1016</v>
      </c>
      <c r="G201" t="s">
        <v>1017</v>
      </c>
      <c r="H201" t="s">
        <v>1018</v>
      </c>
      <c r="I201" t="s">
        <v>1018</v>
      </c>
      <c r="J201" t="s">
        <v>1019</v>
      </c>
      <c r="K201">
        <v>158923</v>
      </c>
      <c r="L201" t="s">
        <v>1020</v>
      </c>
      <c r="M201">
        <v>43</v>
      </c>
      <c r="N201" t="s">
        <v>1021</v>
      </c>
    </row>
    <row r="202" spans="1:14" x14ac:dyDescent="0.3">
      <c r="A202" t="s">
        <v>214</v>
      </c>
      <c r="B202" t="s">
        <v>1014</v>
      </c>
      <c r="C202" t="s">
        <v>1035</v>
      </c>
      <c r="D202" s="1">
        <v>45665</v>
      </c>
      <c r="E202" s="1">
        <v>45688</v>
      </c>
      <c r="F202" t="s">
        <v>1016</v>
      </c>
      <c r="G202" t="s">
        <v>1017</v>
      </c>
      <c r="H202" t="s">
        <v>1018</v>
      </c>
      <c r="I202" t="s">
        <v>1018</v>
      </c>
      <c r="J202" t="s">
        <v>1019</v>
      </c>
      <c r="K202">
        <v>133617</v>
      </c>
      <c r="L202" t="s">
        <v>1020</v>
      </c>
      <c r="M202">
        <v>30</v>
      </c>
      <c r="N202" t="s">
        <v>1021</v>
      </c>
    </row>
    <row r="203" spans="1:14" x14ac:dyDescent="0.3">
      <c r="A203" t="s">
        <v>215</v>
      </c>
      <c r="B203" t="s">
        <v>1014</v>
      </c>
      <c r="C203" t="s">
        <v>1035</v>
      </c>
      <c r="D203" s="1">
        <v>45989</v>
      </c>
      <c r="E203" s="1">
        <v>46033</v>
      </c>
      <c r="F203" t="s">
        <v>1018</v>
      </c>
      <c r="G203" t="s">
        <v>1023</v>
      </c>
      <c r="H203" t="s">
        <v>1016</v>
      </c>
      <c r="I203" t="s">
        <v>1016</v>
      </c>
      <c r="J203" t="s">
        <v>1019</v>
      </c>
      <c r="K203">
        <v>153530</v>
      </c>
      <c r="L203" t="s">
        <v>1020</v>
      </c>
      <c r="M203">
        <v>50</v>
      </c>
      <c r="N203" t="s">
        <v>1021</v>
      </c>
    </row>
    <row r="204" spans="1:14" x14ac:dyDescent="0.3">
      <c r="A204" t="s">
        <v>216</v>
      </c>
      <c r="B204" t="s">
        <v>1037</v>
      </c>
      <c r="C204" t="s">
        <v>1033</v>
      </c>
      <c r="D204" s="1">
        <v>45973</v>
      </c>
      <c r="E204" s="1">
        <v>46003</v>
      </c>
      <c r="F204" t="s">
        <v>1016</v>
      </c>
      <c r="G204" t="s">
        <v>1027</v>
      </c>
      <c r="H204" t="s">
        <v>1018</v>
      </c>
      <c r="I204" t="s">
        <v>1018</v>
      </c>
      <c r="J204" t="s">
        <v>1027</v>
      </c>
      <c r="K204">
        <v>0</v>
      </c>
      <c r="L204" t="s">
        <v>1028</v>
      </c>
      <c r="M204">
        <v>63</v>
      </c>
      <c r="N204" t="s">
        <v>1025</v>
      </c>
    </row>
    <row r="205" spans="1:14" x14ac:dyDescent="0.3">
      <c r="A205" t="s">
        <v>217</v>
      </c>
      <c r="B205" t="s">
        <v>1037</v>
      </c>
      <c r="C205" t="s">
        <v>1035</v>
      </c>
      <c r="D205" s="1">
        <v>45935</v>
      </c>
      <c r="E205" s="1">
        <v>45976</v>
      </c>
      <c r="F205" t="s">
        <v>1018</v>
      </c>
      <c r="G205" t="s">
        <v>1017</v>
      </c>
      <c r="H205" t="s">
        <v>1018</v>
      </c>
      <c r="I205" t="s">
        <v>1018</v>
      </c>
      <c r="J205" t="s">
        <v>1019</v>
      </c>
      <c r="K205">
        <v>106131</v>
      </c>
      <c r="L205" t="s">
        <v>1020</v>
      </c>
      <c r="M205">
        <v>81</v>
      </c>
      <c r="N205" t="s">
        <v>1021</v>
      </c>
    </row>
    <row r="206" spans="1:14" x14ac:dyDescent="0.3">
      <c r="A206" t="s">
        <v>218</v>
      </c>
      <c r="B206" t="s">
        <v>1014</v>
      </c>
      <c r="C206" t="s">
        <v>1022</v>
      </c>
      <c r="D206" s="1">
        <v>45669</v>
      </c>
      <c r="E206" s="1">
        <v>45685</v>
      </c>
      <c r="F206" t="s">
        <v>1016</v>
      </c>
      <c r="G206" t="s">
        <v>1023</v>
      </c>
      <c r="H206" t="s">
        <v>1016</v>
      </c>
      <c r="I206" t="s">
        <v>1016</v>
      </c>
      <c r="J206" t="s">
        <v>1019</v>
      </c>
      <c r="K206">
        <v>199483</v>
      </c>
      <c r="L206" t="s">
        <v>1020</v>
      </c>
      <c r="M206">
        <v>50</v>
      </c>
      <c r="N206" t="s">
        <v>1021</v>
      </c>
    </row>
    <row r="207" spans="1:14" x14ac:dyDescent="0.3">
      <c r="A207" t="s">
        <v>219</v>
      </c>
      <c r="B207" t="s">
        <v>1014</v>
      </c>
      <c r="C207" t="s">
        <v>1033</v>
      </c>
      <c r="D207" s="1">
        <v>45742</v>
      </c>
      <c r="E207" s="1">
        <v>45754</v>
      </c>
      <c r="F207" t="s">
        <v>1016</v>
      </c>
      <c r="G207" t="s">
        <v>1023</v>
      </c>
      <c r="H207" t="s">
        <v>1016</v>
      </c>
      <c r="I207" t="s">
        <v>1018</v>
      </c>
      <c r="J207" t="s">
        <v>1027</v>
      </c>
      <c r="K207">
        <v>0</v>
      </c>
      <c r="L207" t="s">
        <v>1028</v>
      </c>
      <c r="M207">
        <v>31</v>
      </c>
      <c r="N207" t="s">
        <v>1030</v>
      </c>
    </row>
    <row r="208" spans="1:14" x14ac:dyDescent="0.3">
      <c r="A208" t="s">
        <v>220</v>
      </c>
      <c r="B208" t="s">
        <v>1014</v>
      </c>
      <c r="C208" t="s">
        <v>1035</v>
      </c>
      <c r="D208" s="1">
        <v>45919</v>
      </c>
      <c r="E208" s="1">
        <v>45942</v>
      </c>
      <c r="F208" t="s">
        <v>1016</v>
      </c>
      <c r="G208" t="s">
        <v>1023</v>
      </c>
      <c r="H208" t="s">
        <v>1016</v>
      </c>
      <c r="I208" t="s">
        <v>1016</v>
      </c>
      <c r="J208" t="s">
        <v>1019</v>
      </c>
      <c r="K208">
        <v>30122</v>
      </c>
      <c r="L208" t="s">
        <v>1020</v>
      </c>
      <c r="M208">
        <v>54</v>
      </c>
      <c r="N208" t="s">
        <v>1021</v>
      </c>
    </row>
    <row r="209" spans="1:14" x14ac:dyDescent="0.3">
      <c r="A209" t="s">
        <v>221</v>
      </c>
      <c r="B209" t="s">
        <v>1032</v>
      </c>
      <c r="C209" t="s">
        <v>1015</v>
      </c>
      <c r="D209" s="1">
        <v>45854</v>
      </c>
      <c r="E209" s="1">
        <v>45879</v>
      </c>
      <c r="F209" t="s">
        <v>1016</v>
      </c>
      <c r="G209" t="s">
        <v>1017</v>
      </c>
      <c r="H209" t="s">
        <v>1018</v>
      </c>
      <c r="I209" t="s">
        <v>1018</v>
      </c>
      <c r="J209" t="s">
        <v>1019</v>
      </c>
      <c r="K209">
        <v>154080</v>
      </c>
      <c r="L209" t="s">
        <v>1020</v>
      </c>
      <c r="M209">
        <v>54</v>
      </c>
      <c r="N209" t="s">
        <v>1021</v>
      </c>
    </row>
    <row r="210" spans="1:14" x14ac:dyDescent="0.3">
      <c r="A210" t="s">
        <v>222</v>
      </c>
      <c r="B210" t="s">
        <v>1032</v>
      </c>
      <c r="C210" t="s">
        <v>1022</v>
      </c>
      <c r="D210" s="1">
        <v>45924</v>
      </c>
      <c r="E210" s="1">
        <v>45968</v>
      </c>
      <c r="F210" t="s">
        <v>1018</v>
      </c>
      <c r="G210" t="s">
        <v>1027</v>
      </c>
      <c r="H210" t="s">
        <v>1018</v>
      </c>
      <c r="I210" t="s">
        <v>1018</v>
      </c>
      <c r="J210" t="s">
        <v>1027</v>
      </c>
      <c r="K210">
        <v>0</v>
      </c>
      <c r="L210" t="s">
        <v>1028</v>
      </c>
      <c r="M210">
        <v>70</v>
      </c>
      <c r="N210" t="s">
        <v>1021</v>
      </c>
    </row>
    <row r="211" spans="1:14" x14ac:dyDescent="0.3">
      <c r="A211" t="s">
        <v>223</v>
      </c>
      <c r="B211" t="s">
        <v>1032</v>
      </c>
      <c r="C211" t="s">
        <v>1015</v>
      </c>
      <c r="D211" s="1">
        <v>45741</v>
      </c>
      <c r="E211" s="1">
        <v>45754</v>
      </c>
      <c r="F211" t="s">
        <v>1016</v>
      </c>
      <c r="G211" t="s">
        <v>1017</v>
      </c>
      <c r="H211" t="s">
        <v>1018</v>
      </c>
      <c r="I211" t="s">
        <v>1018</v>
      </c>
      <c r="J211" t="s">
        <v>1019</v>
      </c>
      <c r="K211">
        <v>59108</v>
      </c>
      <c r="L211" t="s">
        <v>1020</v>
      </c>
      <c r="M211">
        <v>30</v>
      </c>
      <c r="N211" t="s">
        <v>1021</v>
      </c>
    </row>
    <row r="212" spans="1:14" x14ac:dyDescent="0.3">
      <c r="A212" t="s">
        <v>224</v>
      </c>
      <c r="B212" t="s">
        <v>1014</v>
      </c>
      <c r="C212" t="s">
        <v>1015</v>
      </c>
      <c r="D212" s="1">
        <v>45795</v>
      </c>
      <c r="E212" s="1">
        <v>45817</v>
      </c>
      <c r="F212" t="s">
        <v>1016</v>
      </c>
      <c r="G212" t="s">
        <v>1027</v>
      </c>
      <c r="H212" t="s">
        <v>1018</v>
      </c>
      <c r="I212" t="s">
        <v>1018</v>
      </c>
      <c r="J212" t="s">
        <v>1027</v>
      </c>
      <c r="K212">
        <v>0</v>
      </c>
      <c r="L212" t="s">
        <v>1028</v>
      </c>
      <c r="M212">
        <v>56</v>
      </c>
      <c r="N212" t="s">
        <v>1030</v>
      </c>
    </row>
    <row r="213" spans="1:14" x14ac:dyDescent="0.3">
      <c r="A213" t="s">
        <v>225</v>
      </c>
      <c r="B213" t="s">
        <v>1026</v>
      </c>
      <c r="C213" t="s">
        <v>1015</v>
      </c>
      <c r="D213" s="1">
        <v>45834</v>
      </c>
      <c r="E213" s="1">
        <v>45878</v>
      </c>
      <c r="F213" t="s">
        <v>1018</v>
      </c>
      <c r="G213" t="s">
        <v>1023</v>
      </c>
      <c r="H213" t="s">
        <v>1016</v>
      </c>
      <c r="I213" t="s">
        <v>1016</v>
      </c>
      <c r="J213" t="s">
        <v>1019</v>
      </c>
      <c r="K213">
        <v>23410</v>
      </c>
      <c r="L213" t="s">
        <v>1020</v>
      </c>
      <c r="M213">
        <v>69</v>
      </c>
      <c r="N213" t="s">
        <v>1025</v>
      </c>
    </row>
    <row r="214" spans="1:14" x14ac:dyDescent="0.3">
      <c r="A214" t="s">
        <v>226</v>
      </c>
      <c r="B214" t="s">
        <v>1014</v>
      </c>
      <c r="C214" t="s">
        <v>1015</v>
      </c>
      <c r="D214" s="1">
        <v>45727</v>
      </c>
      <c r="E214" s="1">
        <v>45769</v>
      </c>
      <c r="F214" t="s">
        <v>1018</v>
      </c>
      <c r="G214" t="s">
        <v>1027</v>
      </c>
      <c r="H214" t="s">
        <v>1018</v>
      </c>
      <c r="I214" t="s">
        <v>1018</v>
      </c>
      <c r="J214" t="s">
        <v>1027</v>
      </c>
      <c r="K214">
        <v>0</v>
      </c>
      <c r="L214" t="s">
        <v>1028</v>
      </c>
      <c r="M214">
        <v>82</v>
      </c>
      <c r="N214" t="s">
        <v>1036</v>
      </c>
    </row>
    <row r="215" spans="1:14" x14ac:dyDescent="0.3">
      <c r="A215" t="s">
        <v>227</v>
      </c>
      <c r="B215" t="s">
        <v>1014</v>
      </c>
      <c r="C215" t="s">
        <v>1033</v>
      </c>
      <c r="D215" s="1">
        <v>45979</v>
      </c>
      <c r="E215" s="1">
        <v>46024</v>
      </c>
      <c r="F215" t="s">
        <v>1018</v>
      </c>
      <c r="G215" t="s">
        <v>1023</v>
      </c>
      <c r="H215" t="s">
        <v>1016</v>
      </c>
      <c r="I215" t="s">
        <v>1016</v>
      </c>
      <c r="J215" t="s">
        <v>1019</v>
      </c>
      <c r="K215">
        <v>187105</v>
      </c>
      <c r="L215" t="s">
        <v>1020</v>
      </c>
      <c r="M215">
        <v>72</v>
      </c>
      <c r="N215" t="s">
        <v>1036</v>
      </c>
    </row>
    <row r="216" spans="1:14" x14ac:dyDescent="0.3">
      <c r="A216" t="s">
        <v>228</v>
      </c>
      <c r="B216" t="s">
        <v>1034</v>
      </c>
      <c r="C216" t="s">
        <v>1033</v>
      </c>
      <c r="D216" s="1">
        <v>45995</v>
      </c>
      <c r="E216" s="1">
        <v>46010</v>
      </c>
      <c r="F216" t="s">
        <v>1016</v>
      </c>
      <c r="G216" t="s">
        <v>1023</v>
      </c>
      <c r="H216" t="s">
        <v>1016</v>
      </c>
      <c r="I216" t="s">
        <v>1018</v>
      </c>
      <c r="J216" t="s">
        <v>1027</v>
      </c>
      <c r="K216">
        <v>0</v>
      </c>
      <c r="L216" t="s">
        <v>1028</v>
      </c>
      <c r="M216">
        <v>28</v>
      </c>
      <c r="N216" t="s">
        <v>1025</v>
      </c>
    </row>
    <row r="217" spans="1:14" x14ac:dyDescent="0.3">
      <c r="A217" t="s">
        <v>229</v>
      </c>
      <c r="B217" t="s">
        <v>1032</v>
      </c>
      <c r="C217" t="s">
        <v>1022</v>
      </c>
      <c r="D217" s="1">
        <v>45706</v>
      </c>
      <c r="E217" s="1">
        <v>45712</v>
      </c>
      <c r="F217" t="s">
        <v>1016</v>
      </c>
      <c r="G217" t="s">
        <v>1023</v>
      </c>
      <c r="H217" t="s">
        <v>1016</v>
      </c>
      <c r="I217" t="s">
        <v>1018</v>
      </c>
      <c r="J217" t="s">
        <v>1027</v>
      </c>
      <c r="K217">
        <v>0</v>
      </c>
      <c r="L217" t="s">
        <v>1028</v>
      </c>
      <c r="M217">
        <v>27</v>
      </c>
      <c r="N217" t="s">
        <v>1036</v>
      </c>
    </row>
    <row r="218" spans="1:14" x14ac:dyDescent="0.3">
      <c r="A218" t="s">
        <v>230</v>
      </c>
      <c r="B218" t="s">
        <v>1026</v>
      </c>
      <c r="C218" t="s">
        <v>1031</v>
      </c>
      <c r="D218" s="1">
        <v>45971</v>
      </c>
      <c r="E218" s="1">
        <v>45973</v>
      </c>
      <c r="F218" t="s">
        <v>1016</v>
      </c>
      <c r="G218" t="s">
        <v>1017</v>
      </c>
      <c r="H218" t="s">
        <v>1018</v>
      </c>
      <c r="I218" t="s">
        <v>1018</v>
      </c>
      <c r="J218" t="s">
        <v>1019</v>
      </c>
      <c r="K218">
        <v>181953</v>
      </c>
      <c r="L218" t="s">
        <v>1020</v>
      </c>
      <c r="M218">
        <v>17</v>
      </c>
      <c r="N218" t="s">
        <v>1030</v>
      </c>
    </row>
    <row r="219" spans="1:14" x14ac:dyDescent="0.3">
      <c r="A219" t="s">
        <v>231</v>
      </c>
      <c r="B219" t="s">
        <v>1037</v>
      </c>
      <c r="C219" t="s">
        <v>1031</v>
      </c>
      <c r="D219" s="1">
        <v>45949</v>
      </c>
      <c r="E219" s="1">
        <v>45955</v>
      </c>
      <c r="F219" t="s">
        <v>1016</v>
      </c>
      <c r="G219" t="s">
        <v>1023</v>
      </c>
      <c r="H219" t="s">
        <v>1016</v>
      </c>
      <c r="I219" t="s">
        <v>1018</v>
      </c>
      <c r="J219" t="s">
        <v>1027</v>
      </c>
      <c r="K219">
        <v>0</v>
      </c>
      <c r="L219" t="s">
        <v>1028</v>
      </c>
      <c r="M219">
        <v>30</v>
      </c>
      <c r="N219" t="s">
        <v>1025</v>
      </c>
    </row>
    <row r="220" spans="1:14" x14ac:dyDescent="0.3">
      <c r="A220" t="s">
        <v>232</v>
      </c>
      <c r="B220" t="s">
        <v>1026</v>
      </c>
      <c r="C220" t="s">
        <v>1031</v>
      </c>
      <c r="D220" s="1">
        <v>45749</v>
      </c>
      <c r="E220" s="1">
        <v>45788</v>
      </c>
      <c r="F220" t="s">
        <v>1018</v>
      </c>
      <c r="G220" t="s">
        <v>1023</v>
      </c>
      <c r="H220" t="s">
        <v>1016</v>
      </c>
      <c r="I220" t="s">
        <v>1016</v>
      </c>
      <c r="J220" t="s">
        <v>1019</v>
      </c>
      <c r="K220">
        <v>134353</v>
      </c>
      <c r="L220" t="s">
        <v>1020</v>
      </c>
      <c r="M220">
        <v>79</v>
      </c>
      <c r="N220" t="s">
        <v>1036</v>
      </c>
    </row>
    <row r="221" spans="1:14" x14ac:dyDescent="0.3">
      <c r="A221" t="s">
        <v>233</v>
      </c>
      <c r="B221" t="s">
        <v>1032</v>
      </c>
      <c r="C221" t="s">
        <v>1031</v>
      </c>
      <c r="D221" s="1">
        <v>45879</v>
      </c>
      <c r="E221" s="1">
        <v>45903</v>
      </c>
      <c r="F221" t="s">
        <v>1016</v>
      </c>
      <c r="G221" t="s">
        <v>1017</v>
      </c>
      <c r="H221" t="s">
        <v>1018</v>
      </c>
      <c r="I221" t="s">
        <v>1018</v>
      </c>
      <c r="J221" t="s">
        <v>1019</v>
      </c>
      <c r="K221">
        <v>198308</v>
      </c>
      <c r="L221" t="s">
        <v>1024</v>
      </c>
      <c r="M221">
        <v>32</v>
      </c>
      <c r="N221" t="s">
        <v>1030</v>
      </c>
    </row>
    <row r="222" spans="1:14" x14ac:dyDescent="0.3">
      <c r="A222" t="s">
        <v>234</v>
      </c>
      <c r="B222" t="s">
        <v>1037</v>
      </c>
      <c r="C222" t="s">
        <v>1015</v>
      </c>
      <c r="D222" s="1">
        <v>45880</v>
      </c>
      <c r="E222" s="1">
        <v>45887</v>
      </c>
      <c r="F222" t="s">
        <v>1016</v>
      </c>
      <c r="G222" t="s">
        <v>1027</v>
      </c>
      <c r="H222" t="s">
        <v>1018</v>
      </c>
      <c r="I222" t="s">
        <v>1018</v>
      </c>
      <c r="J222" t="s">
        <v>1027</v>
      </c>
      <c r="K222">
        <v>0</v>
      </c>
      <c r="L222" t="s">
        <v>1028</v>
      </c>
      <c r="M222">
        <v>33</v>
      </c>
      <c r="N222" t="s">
        <v>1025</v>
      </c>
    </row>
    <row r="223" spans="1:14" x14ac:dyDescent="0.3">
      <c r="A223" t="s">
        <v>235</v>
      </c>
      <c r="B223" t="s">
        <v>1034</v>
      </c>
      <c r="C223" t="s">
        <v>1033</v>
      </c>
      <c r="D223" s="1">
        <v>45692</v>
      </c>
      <c r="E223" s="1">
        <v>45703</v>
      </c>
      <c r="F223" t="s">
        <v>1016</v>
      </c>
      <c r="G223" t="s">
        <v>1023</v>
      </c>
      <c r="H223" t="s">
        <v>1016</v>
      </c>
      <c r="I223" t="s">
        <v>1016</v>
      </c>
      <c r="J223" t="s">
        <v>1019</v>
      </c>
      <c r="K223">
        <v>10840</v>
      </c>
      <c r="L223" t="s">
        <v>1020</v>
      </c>
      <c r="M223">
        <v>19</v>
      </c>
      <c r="N223" t="s">
        <v>1030</v>
      </c>
    </row>
    <row r="224" spans="1:14" x14ac:dyDescent="0.3">
      <c r="A224" t="s">
        <v>236</v>
      </c>
      <c r="B224" t="s">
        <v>1014</v>
      </c>
      <c r="C224" t="s">
        <v>1022</v>
      </c>
      <c r="D224" s="1">
        <v>45973</v>
      </c>
      <c r="E224" s="1">
        <v>46008</v>
      </c>
      <c r="F224" t="s">
        <v>1018</v>
      </c>
      <c r="G224" t="s">
        <v>1017</v>
      </c>
      <c r="H224" t="s">
        <v>1018</v>
      </c>
      <c r="I224" t="s">
        <v>1018</v>
      </c>
      <c r="J224" t="s">
        <v>1019</v>
      </c>
      <c r="K224">
        <v>145055</v>
      </c>
      <c r="L224" t="s">
        <v>1020</v>
      </c>
      <c r="M224">
        <v>41</v>
      </c>
      <c r="N224" t="s">
        <v>1036</v>
      </c>
    </row>
    <row r="225" spans="1:14" x14ac:dyDescent="0.3">
      <c r="A225" t="s">
        <v>237</v>
      </c>
      <c r="B225" t="s">
        <v>1032</v>
      </c>
      <c r="C225" t="s">
        <v>1031</v>
      </c>
      <c r="D225" s="1">
        <v>45923</v>
      </c>
      <c r="E225" s="1">
        <v>45930</v>
      </c>
      <c r="F225" t="s">
        <v>1016</v>
      </c>
      <c r="G225" t="s">
        <v>1017</v>
      </c>
      <c r="H225" t="s">
        <v>1018</v>
      </c>
      <c r="I225" t="s">
        <v>1018</v>
      </c>
      <c r="J225" t="s">
        <v>1019</v>
      </c>
      <c r="K225">
        <v>178161</v>
      </c>
      <c r="L225" t="s">
        <v>1024</v>
      </c>
      <c r="M225">
        <v>24</v>
      </c>
      <c r="N225" t="s">
        <v>1030</v>
      </c>
    </row>
    <row r="226" spans="1:14" x14ac:dyDescent="0.3">
      <c r="A226" t="s">
        <v>238</v>
      </c>
      <c r="B226" t="s">
        <v>1032</v>
      </c>
      <c r="C226" t="s">
        <v>1031</v>
      </c>
      <c r="D226" s="1">
        <v>45765</v>
      </c>
      <c r="E226" s="1">
        <v>45783</v>
      </c>
      <c r="F226" t="s">
        <v>1016</v>
      </c>
      <c r="G226" t="s">
        <v>1023</v>
      </c>
      <c r="H226" t="s">
        <v>1016</v>
      </c>
      <c r="I226" t="s">
        <v>1016</v>
      </c>
      <c r="J226" t="s">
        <v>1019</v>
      </c>
      <c r="K226">
        <v>193332</v>
      </c>
      <c r="L226" t="s">
        <v>1020</v>
      </c>
      <c r="M226">
        <v>25</v>
      </c>
      <c r="N226" t="s">
        <v>1021</v>
      </c>
    </row>
    <row r="227" spans="1:14" x14ac:dyDescent="0.3">
      <c r="A227" t="s">
        <v>239</v>
      </c>
      <c r="B227" t="s">
        <v>1014</v>
      </c>
      <c r="C227" t="s">
        <v>1015</v>
      </c>
      <c r="D227" s="1">
        <v>45966</v>
      </c>
      <c r="E227" s="1">
        <v>46004</v>
      </c>
      <c r="F227" t="s">
        <v>1018</v>
      </c>
      <c r="G227" t="s">
        <v>1023</v>
      </c>
      <c r="H227" t="s">
        <v>1016</v>
      </c>
      <c r="I227" t="s">
        <v>1016</v>
      </c>
      <c r="J227" t="s">
        <v>1019</v>
      </c>
      <c r="K227">
        <v>99470</v>
      </c>
      <c r="L227" t="s">
        <v>1020</v>
      </c>
      <c r="M227">
        <v>44</v>
      </c>
      <c r="N227" t="s">
        <v>1030</v>
      </c>
    </row>
    <row r="228" spans="1:14" x14ac:dyDescent="0.3">
      <c r="A228" t="s">
        <v>240</v>
      </c>
      <c r="B228" t="s">
        <v>1029</v>
      </c>
      <c r="C228" t="s">
        <v>1022</v>
      </c>
      <c r="D228" s="1">
        <v>45805</v>
      </c>
      <c r="E228" s="1">
        <v>45831</v>
      </c>
      <c r="F228" t="s">
        <v>1016</v>
      </c>
      <c r="G228" t="s">
        <v>1027</v>
      </c>
      <c r="H228" t="s">
        <v>1018</v>
      </c>
      <c r="I228" t="s">
        <v>1018</v>
      </c>
      <c r="J228" t="s">
        <v>1027</v>
      </c>
      <c r="K228">
        <v>0</v>
      </c>
      <c r="L228" t="s">
        <v>1028</v>
      </c>
      <c r="M228">
        <v>50</v>
      </c>
      <c r="N228" t="s">
        <v>1030</v>
      </c>
    </row>
    <row r="229" spans="1:14" x14ac:dyDescent="0.3">
      <c r="A229" t="s">
        <v>241</v>
      </c>
      <c r="B229" t="s">
        <v>1029</v>
      </c>
      <c r="C229" t="s">
        <v>1035</v>
      </c>
      <c r="D229" s="1">
        <v>45985</v>
      </c>
      <c r="E229" s="1">
        <v>46004</v>
      </c>
      <c r="F229" t="s">
        <v>1016</v>
      </c>
      <c r="G229" t="s">
        <v>1027</v>
      </c>
      <c r="H229" t="s">
        <v>1018</v>
      </c>
      <c r="I229" t="s">
        <v>1018</v>
      </c>
      <c r="J229" t="s">
        <v>1027</v>
      </c>
      <c r="K229">
        <v>0</v>
      </c>
      <c r="L229" t="s">
        <v>1028</v>
      </c>
      <c r="M229">
        <v>34</v>
      </c>
      <c r="N229" t="s">
        <v>1036</v>
      </c>
    </row>
    <row r="230" spans="1:14" x14ac:dyDescent="0.3">
      <c r="A230" t="s">
        <v>242</v>
      </c>
      <c r="B230" t="s">
        <v>1032</v>
      </c>
      <c r="C230" t="s">
        <v>1031</v>
      </c>
      <c r="D230" s="1">
        <v>45760</v>
      </c>
      <c r="E230" s="1">
        <v>45792</v>
      </c>
      <c r="F230" t="s">
        <v>1018</v>
      </c>
      <c r="G230" t="s">
        <v>1023</v>
      </c>
      <c r="H230" t="s">
        <v>1016</v>
      </c>
      <c r="I230" t="s">
        <v>1016</v>
      </c>
      <c r="J230" t="s">
        <v>1019</v>
      </c>
      <c r="K230">
        <v>91895</v>
      </c>
      <c r="L230" t="s">
        <v>1020</v>
      </c>
      <c r="M230">
        <v>53</v>
      </c>
      <c r="N230" t="s">
        <v>1025</v>
      </c>
    </row>
    <row r="231" spans="1:14" x14ac:dyDescent="0.3">
      <c r="A231" t="s">
        <v>243</v>
      </c>
      <c r="B231" t="s">
        <v>1037</v>
      </c>
      <c r="C231" t="s">
        <v>1033</v>
      </c>
      <c r="D231" s="1">
        <v>46016</v>
      </c>
      <c r="E231" s="1">
        <v>46041</v>
      </c>
      <c r="F231" t="s">
        <v>1016</v>
      </c>
      <c r="G231" t="s">
        <v>1017</v>
      </c>
      <c r="H231" t="s">
        <v>1018</v>
      </c>
      <c r="I231" t="s">
        <v>1018</v>
      </c>
      <c r="J231" t="s">
        <v>1019</v>
      </c>
      <c r="K231">
        <v>183749</v>
      </c>
      <c r="L231" t="s">
        <v>1020</v>
      </c>
      <c r="M231">
        <v>42</v>
      </c>
      <c r="N231" t="s">
        <v>1030</v>
      </c>
    </row>
    <row r="232" spans="1:14" x14ac:dyDescent="0.3">
      <c r="A232" t="s">
        <v>244</v>
      </c>
      <c r="B232" t="s">
        <v>1029</v>
      </c>
      <c r="C232" t="s">
        <v>1035</v>
      </c>
      <c r="D232" s="1">
        <v>45864</v>
      </c>
      <c r="E232" s="1">
        <v>45888</v>
      </c>
      <c r="F232" t="s">
        <v>1016</v>
      </c>
      <c r="G232" t="s">
        <v>1027</v>
      </c>
      <c r="H232" t="s">
        <v>1018</v>
      </c>
      <c r="I232" t="s">
        <v>1018</v>
      </c>
      <c r="J232" t="s">
        <v>1027</v>
      </c>
      <c r="K232">
        <v>0</v>
      </c>
      <c r="L232" t="s">
        <v>1028</v>
      </c>
      <c r="M232">
        <v>44</v>
      </c>
      <c r="N232" t="s">
        <v>1036</v>
      </c>
    </row>
    <row r="233" spans="1:14" x14ac:dyDescent="0.3">
      <c r="A233" t="s">
        <v>245</v>
      </c>
      <c r="B233" t="s">
        <v>1037</v>
      </c>
      <c r="C233" t="s">
        <v>1033</v>
      </c>
      <c r="D233" s="1">
        <v>45884</v>
      </c>
      <c r="E233" s="1">
        <v>45909</v>
      </c>
      <c r="F233" t="s">
        <v>1016</v>
      </c>
      <c r="G233" t="s">
        <v>1023</v>
      </c>
      <c r="H233" t="s">
        <v>1016</v>
      </c>
      <c r="I233" t="s">
        <v>1016</v>
      </c>
      <c r="J233" t="s">
        <v>1019</v>
      </c>
      <c r="K233">
        <v>67716</v>
      </c>
      <c r="L233" t="s">
        <v>1020</v>
      </c>
      <c r="M233">
        <v>49</v>
      </c>
      <c r="N233" t="s">
        <v>1036</v>
      </c>
    </row>
    <row r="234" spans="1:14" x14ac:dyDescent="0.3">
      <c r="A234" t="s">
        <v>246</v>
      </c>
      <c r="B234" t="s">
        <v>1014</v>
      </c>
      <c r="C234" t="s">
        <v>1015</v>
      </c>
      <c r="D234" s="1">
        <v>45737</v>
      </c>
      <c r="E234" s="1">
        <v>45779</v>
      </c>
      <c r="F234" t="s">
        <v>1018</v>
      </c>
      <c r="G234" t="s">
        <v>1023</v>
      </c>
      <c r="H234" t="s">
        <v>1016</v>
      </c>
      <c r="I234" t="s">
        <v>1016</v>
      </c>
      <c r="J234" t="s">
        <v>1019</v>
      </c>
      <c r="K234">
        <v>167356</v>
      </c>
      <c r="L234" t="s">
        <v>1020</v>
      </c>
      <c r="M234">
        <v>64</v>
      </c>
      <c r="N234" t="s">
        <v>1021</v>
      </c>
    </row>
    <row r="235" spans="1:14" x14ac:dyDescent="0.3">
      <c r="A235" t="s">
        <v>247</v>
      </c>
      <c r="B235" t="s">
        <v>1026</v>
      </c>
      <c r="C235" t="s">
        <v>1033</v>
      </c>
      <c r="D235" s="1">
        <v>45705</v>
      </c>
      <c r="E235" s="1">
        <v>45735</v>
      </c>
      <c r="F235" t="s">
        <v>1016</v>
      </c>
      <c r="G235" t="s">
        <v>1023</v>
      </c>
      <c r="H235" t="s">
        <v>1016</v>
      </c>
      <c r="I235" t="s">
        <v>1018</v>
      </c>
      <c r="J235" t="s">
        <v>1027</v>
      </c>
      <c r="K235">
        <v>0</v>
      </c>
      <c r="L235" t="s">
        <v>1028</v>
      </c>
      <c r="M235">
        <v>38</v>
      </c>
      <c r="N235" t="s">
        <v>1036</v>
      </c>
    </row>
    <row r="236" spans="1:14" x14ac:dyDescent="0.3">
      <c r="A236" t="s">
        <v>248</v>
      </c>
      <c r="B236" t="s">
        <v>1037</v>
      </c>
      <c r="C236" t="s">
        <v>1035</v>
      </c>
      <c r="D236" s="1">
        <v>45741</v>
      </c>
      <c r="E236" s="1">
        <v>45744</v>
      </c>
      <c r="F236" t="s">
        <v>1016</v>
      </c>
      <c r="G236" t="s">
        <v>1023</v>
      </c>
      <c r="H236" t="s">
        <v>1016</v>
      </c>
      <c r="I236" t="s">
        <v>1016</v>
      </c>
      <c r="J236" t="s">
        <v>1019</v>
      </c>
      <c r="K236">
        <v>196951</v>
      </c>
      <c r="L236" t="s">
        <v>1024</v>
      </c>
      <c r="M236">
        <v>16</v>
      </c>
      <c r="N236" t="s">
        <v>1025</v>
      </c>
    </row>
    <row r="237" spans="1:14" x14ac:dyDescent="0.3">
      <c r="A237" t="s">
        <v>249</v>
      </c>
      <c r="B237" t="s">
        <v>1037</v>
      </c>
      <c r="C237" t="s">
        <v>1022</v>
      </c>
      <c r="D237" s="1">
        <v>45886</v>
      </c>
      <c r="E237" s="1">
        <v>45906</v>
      </c>
      <c r="F237" t="s">
        <v>1016</v>
      </c>
      <c r="G237" t="s">
        <v>1027</v>
      </c>
      <c r="H237" t="s">
        <v>1018</v>
      </c>
      <c r="I237" t="s">
        <v>1018</v>
      </c>
      <c r="J237" t="s">
        <v>1027</v>
      </c>
      <c r="K237">
        <v>0</v>
      </c>
      <c r="L237" t="s">
        <v>1028</v>
      </c>
      <c r="M237">
        <v>40</v>
      </c>
      <c r="N237" t="s">
        <v>1030</v>
      </c>
    </row>
    <row r="238" spans="1:14" x14ac:dyDescent="0.3">
      <c r="A238" t="s">
        <v>250</v>
      </c>
      <c r="B238" t="s">
        <v>1014</v>
      </c>
      <c r="C238" t="s">
        <v>1015</v>
      </c>
      <c r="D238" s="1">
        <v>45926</v>
      </c>
      <c r="E238" s="1">
        <v>45930</v>
      </c>
      <c r="F238" t="s">
        <v>1016</v>
      </c>
      <c r="G238" t="s">
        <v>1027</v>
      </c>
      <c r="H238" t="s">
        <v>1018</v>
      </c>
      <c r="I238" t="s">
        <v>1018</v>
      </c>
      <c r="J238" t="s">
        <v>1027</v>
      </c>
      <c r="K238">
        <v>0</v>
      </c>
      <c r="L238" t="s">
        <v>1028</v>
      </c>
      <c r="M238">
        <v>39</v>
      </c>
      <c r="N238" t="s">
        <v>1025</v>
      </c>
    </row>
    <row r="239" spans="1:14" x14ac:dyDescent="0.3">
      <c r="A239" t="s">
        <v>251</v>
      </c>
      <c r="B239" t="s">
        <v>1029</v>
      </c>
      <c r="C239" t="s">
        <v>1031</v>
      </c>
      <c r="D239" s="1">
        <v>45984</v>
      </c>
      <c r="E239" s="1">
        <v>46012</v>
      </c>
      <c r="F239" t="s">
        <v>1016</v>
      </c>
      <c r="G239" t="s">
        <v>1023</v>
      </c>
      <c r="H239" t="s">
        <v>1016</v>
      </c>
      <c r="I239" t="s">
        <v>1016</v>
      </c>
      <c r="J239" t="s">
        <v>1019</v>
      </c>
      <c r="K239">
        <v>96121</v>
      </c>
      <c r="L239" t="s">
        <v>1020</v>
      </c>
      <c r="M239">
        <v>34</v>
      </c>
      <c r="N239" t="s">
        <v>1025</v>
      </c>
    </row>
    <row r="240" spans="1:14" x14ac:dyDescent="0.3">
      <c r="A240" t="s">
        <v>252</v>
      </c>
      <c r="B240" t="s">
        <v>1032</v>
      </c>
      <c r="C240" t="s">
        <v>1035</v>
      </c>
      <c r="D240" s="1">
        <v>45682</v>
      </c>
      <c r="E240" s="1">
        <v>45700</v>
      </c>
      <c r="F240" t="s">
        <v>1016</v>
      </c>
      <c r="G240" t="s">
        <v>1027</v>
      </c>
      <c r="H240" t="s">
        <v>1018</v>
      </c>
      <c r="I240" t="s">
        <v>1018</v>
      </c>
      <c r="J240" t="s">
        <v>1027</v>
      </c>
      <c r="K240">
        <v>0</v>
      </c>
      <c r="L240" t="s">
        <v>1028</v>
      </c>
      <c r="M240">
        <v>43</v>
      </c>
      <c r="N240" t="s">
        <v>1021</v>
      </c>
    </row>
    <row r="241" spans="1:14" x14ac:dyDescent="0.3">
      <c r="A241" t="s">
        <v>253</v>
      </c>
      <c r="B241" t="s">
        <v>1029</v>
      </c>
      <c r="C241" t="s">
        <v>1022</v>
      </c>
      <c r="D241" s="1">
        <v>45823</v>
      </c>
      <c r="E241" s="1">
        <v>45840</v>
      </c>
      <c r="F241" t="s">
        <v>1016</v>
      </c>
      <c r="G241" t="s">
        <v>1023</v>
      </c>
      <c r="H241" t="s">
        <v>1016</v>
      </c>
      <c r="I241" t="s">
        <v>1016</v>
      </c>
      <c r="J241" t="s">
        <v>1019</v>
      </c>
      <c r="K241">
        <v>9404</v>
      </c>
      <c r="L241" t="s">
        <v>1020</v>
      </c>
      <c r="M241">
        <v>32</v>
      </c>
      <c r="N241" t="s">
        <v>1021</v>
      </c>
    </row>
    <row r="242" spans="1:14" x14ac:dyDescent="0.3">
      <c r="A242" t="s">
        <v>254</v>
      </c>
      <c r="B242" t="s">
        <v>1029</v>
      </c>
      <c r="C242" t="s">
        <v>1031</v>
      </c>
      <c r="D242" s="1">
        <v>45849</v>
      </c>
      <c r="E242" s="1">
        <v>45852</v>
      </c>
      <c r="F242" t="s">
        <v>1016</v>
      </c>
      <c r="G242" t="s">
        <v>1027</v>
      </c>
      <c r="H242" t="s">
        <v>1018</v>
      </c>
      <c r="I242" t="s">
        <v>1018</v>
      </c>
      <c r="J242" t="s">
        <v>1027</v>
      </c>
      <c r="K242">
        <v>0</v>
      </c>
      <c r="L242" t="s">
        <v>1028</v>
      </c>
      <c r="M242">
        <v>10</v>
      </c>
      <c r="N242" t="s">
        <v>1030</v>
      </c>
    </row>
    <row r="243" spans="1:14" x14ac:dyDescent="0.3">
      <c r="A243" t="s">
        <v>255</v>
      </c>
      <c r="B243" t="s">
        <v>1037</v>
      </c>
      <c r="C243" t="s">
        <v>1031</v>
      </c>
      <c r="D243" s="1">
        <v>45674</v>
      </c>
      <c r="E243" s="1">
        <v>45697</v>
      </c>
      <c r="F243" t="s">
        <v>1016</v>
      </c>
      <c r="G243" t="s">
        <v>1017</v>
      </c>
      <c r="H243" t="s">
        <v>1018</v>
      </c>
      <c r="I243" t="s">
        <v>1018</v>
      </c>
      <c r="J243" t="s">
        <v>1019</v>
      </c>
      <c r="K243">
        <v>152854</v>
      </c>
      <c r="L243" t="s">
        <v>1020</v>
      </c>
      <c r="M243">
        <v>60</v>
      </c>
      <c r="N243" t="s">
        <v>1025</v>
      </c>
    </row>
    <row r="244" spans="1:14" x14ac:dyDescent="0.3">
      <c r="A244" t="s">
        <v>256</v>
      </c>
      <c r="B244" t="s">
        <v>1029</v>
      </c>
      <c r="C244" t="s">
        <v>1031</v>
      </c>
      <c r="D244" s="1">
        <v>45685</v>
      </c>
      <c r="E244" s="1">
        <v>45715</v>
      </c>
      <c r="F244" t="s">
        <v>1016</v>
      </c>
      <c r="G244" t="s">
        <v>1027</v>
      </c>
      <c r="H244" t="s">
        <v>1018</v>
      </c>
      <c r="I244" t="s">
        <v>1018</v>
      </c>
      <c r="J244" t="s">
        <v>1027</v>
      </c>
      <c r="K244">
        <v>0</v>
      </c>
      <c r="L244" t="s">
        <v>1028</v>
      </c>
      <c r="M244">
        <v>57</v>
      </c>
      <c r="N244" t="s">
        <v>1030</v>
      </c>
    </row>
    <row r="245" spans="1:14" x14ac:dyDescent="0.3">
      <c r="A245" t="s">
        <v>257</v>
      </c>
      <c r="B245" t="s">
        <v>1029</v>
      </c>
      <c r="C245" t="s">
        <v>1031</v>
      </c>
      <c r="D245" s="1">
        <v>45893</v>
      </c>
      <c r="E245" s="1">
        <v>45920</v>
      </c>
      <c r="F245" t="s">
        <v>1016</v>
      </c>
      <c r="G245" t="s">
        <v>1027</v>
      </c>
      <c r="H245" t="s">
        <v>1018</v>
      </c>
      <c r="I245" t="s">
        <v>1018</v>
      </c>
      <c r="J245" t="s">
        <v>1027</v>
      </c>
      <c r="K245">
        <v>0</v>
      </c>
      <c r="L245" t="s">
        <v>1028</v>
      </c>
      <c r="M245">
        <v>62</v>
      </c>
      <c r="N245" t="s">
        <v>1025</v>
      </c>
    </row>
    <row r="246" spans="1:14" x14ac:dyDescent="0.3">
      <c r="A246" t="s">
        <v>258</v>
      </c>
      <c r="B246" t="s">
        <v>1032</v>
      </c>
      <c r="C246" t="s">
        <v>1031</v>
      </c>
      <c r="D246" s="1">
        <v>45995</v>
      </c>
      <c r="E246" s="1">
        <v>46032</v>
      </c>
      <c r="F246" t="s">
        <v>1018</v>
      </c>
      <c r="G246" t="s">
        <v>1027</v>
      </c>
      <c r="H246" t="s">
        <v>1018</v>
      </c>
      <c r="I246" t="s">
        <v>1018</v>
      </c>
      <c r="J246" t="s">
        <v>1027</v>
      </c>
      <c r="K246">
        <v>0</v>
      </c>
      <c r="L246" t="s">
        <v>1028</v>
      </c>
      <c r="M246">
        <v>48</v>
      </c>
      <c r="N246" t="s">
        <v>1036</v>
      </c>
    </row>
    <row r="247" spans="1:14" x14ac:dyDescent="0.3">
      <c r="A247" t="s">
        <v>259</v>
      </c>
      <c r="B247" t="s">
        <v>1026</v>
      </c>
      <c r="C247" t="s">
        <v>1022</v>
      </c>
      <c r="D247" s="1">
        <v>45970</v>
      </c>
      <c r="E247" s="1">
        <v>46001</v>
      </c>
      <c r="F247" t="s">
        <v>1018</v>
      </c>
      <c r="G247" t="s">
        <v>1023</v>
      </c>
      <c r="H247" t="s">
        <v>1016</v>
      </c>
      <c r="I247" t="s">
        <v>1016</v>
      </c>
      <c r="J247" t="s">
        <v>1019</v>
      </c>
      <c r="K247">
        <v>78984</v>
      </c>
      <c r="L247" t="s">
        <v>1020</v>
      </c>
      <c r="M247">
        <v>52</v>
      </c>
      <c r="N247" t="s">
        <v>1021</v>
      </c>
    </row>
    <row r="248" spans="1:14" x14ac:dyDescent="0.3">
      <c r="A248" t="s">
        <v>260</v>
      </c>
      <c r="B248" t="s">
        <v>1026</v>
      </c>
      <c r="C248" t="s">
        <v>1035</v>
      </c>
      <c r="D248" s="1">
        <v>45669</v>
      </c>
      <c r="E248" s="1">
        <v>45714</v>
      </c>
      <c r="F248" t="s">
        <v>1018</v>
      </c>
      <c r="G248" t="s">
        <v>1017</v>
      </c>
      <c r="H248" t="s">
        <v>1018</v>
      </c>
      <c r="I248" t="s">
        <v>1018</v>
      </c>
      <c r="J248" t="s">
        <v>1019</v>
      </c>
      <c r="K248">
        <v>153555</v>
      </c>
      <c r="L248" t="s">
        <v>1020</v>
      </c>
      <c r="M248">
        <v>53</v>
      </c>
      <c r="N248" t="s">
        <v>1036</v>
      </c>
    </row>
    <row r="249" spans="1:14" x14ac:dyDescent="0.3">
      <c r="A249" t="s">
        <v>261</v>
      </c>
      <c r="B249" t="s">
        <v>1034</v>
      </c>
      <c r="C249" t="s">
        <v>1033</v>
      </c>
      <c r="D249" s="1">
        <v>45760</v>
      </c>
      <c r="E249" s="1">
        <v>45767</v>
      </c>
      <c r="F249" t="s">
        <v>1016</v>
      </c>
      <c r="G249" t="s">
        <v>1017</v>
      </c>
      <c r="H249" t="s">
        <v>1018</v>
      </c>
      <c r="I249" t="s">
        <v>1018</v>
      </c>
      <c r="J249" t="s">
        <v>1019</v>
      </c>
      <c r="K249">
        <v>113359</v>
      </c>
      <c r="L249" t="s">
        <v>1020</v>
      </c>
      <c r="M249">
        <v>47</v>
      </c>
      <c r="N249" t="s">
        <v>1030</v>
      </c>
    </row>
    <row r="250" spans="1:14" x14ac:dyDescent="0.3">
      <c r="A250" t="s">
        <v>262</v>
      </c>
      <c r="B250" t="s">
        <v>1026</v>
      </c>
      <c r="C250" t="s">
        <v>1015</v>
      </c>
      <c r="D250" s="1">
        <v>45914</v>
      </c>
      <c r="E250" s="1">
        <v>45946</v>
      </c>
      <c r="F250" t="s">
        <v>1018</v>
      </c>
      <c r="G250" t="s">
        <v>1023</v>
      </c>
      <c r="H250" t="s">
        <v>1016</v>
      </c>
      <c r="I250" t="s">
        <v>1016</v>
      </c>
      <c r="J250" t="s">
        <v>1019</v>
      </c>
      <c r="K250">
        <v>104215</v>
      </c>
      <c r="L250" t="s">
        <v>1020</v>
      </c>
      <c r="M250">
        <v>68</v>
      </c>
      <c r="N250" t="s">
        <v>1030</v>
      </c>
    </row>
    <row r="251" spans="1:14" x14ac:dyDescent="0.3">
      <c r="A251" t="s">
        <v>263</v>
      </c>
      <c r="B251" t="s">
        <v>1037</v>
      </c>
      <c r="C251" t="s">
        <v>1022</v>
      </c>
      <c r="D251" s="1">
        <v>45987</v>
      </c>
      <c r="E251" s="1">
        <v>45995</v>
      </c>
      <c r="F251" t="s">
        <v>1016</v>
      </c>
      <c r="G251" t="s">
        <v>1027</v>
      </c>
      <c r="H251" t="s">
        <v>1018</v>
      </c>
      <c r="I251" t="s">
        <v>1018</v>
      </c>
      <c r="J251" t="s">
        <v>1027</v>
      </c>
      <c r="K251">
        <v>0</v>
      </c>
      <c r="L251" t="s">
        <v>1028</v>
      </c>
      <c r="M251">
        <v>14</v>
      </c>
      <c r="N251" t="s">
        <v>1025</v>
      </c>
    </row>
    <row r="252" spans="1:14" x14ac:dyDescent="0.3">
      <c r="A252" t="s">
        <v>264</v>
      </c>
      <c r="B252" t="s">
        <v>1037</v>
      </c>
      <c r="C252" t="s">
        <v>1022</v>
      </c>
      <c r="D252" s="1">
        <v>45849</v>
      </c>
      <c r="E252" s="1">
        <v>45854</v>
      </c>
      <c r="F252" t="s">
        <v>1016</v>
      </c>
      <c r="G252" t="s">
        <v>1023</v>
      </c>
      <c r="H252" t="s">
        <v>1016</v>
      </c>
      <c r="I252" t="s">
        <v>1016</v>
      </c>
      <c r="J252" t="s">
        <v>1019</v>
      </c>
      <c r="K252">
        <v>43408</v>
      </c>
      <c r="L252" t="s">
        <v>1020</v>
      </c>
      <c r="M252">
        <v>22</v>
      </c>
      <c r="N252" t="s">
        <v>1036</v>
      </c>
    </row>
    <row r="253" spans="1:14" x14ac:dyDescent="0.3">
      <c r="A253" t="s">
        <v>265</v>
      </c>
      <c r="B253" t="s">
        <v>1032</v>
      </c>
      <c r="C253" t="s">
        <v>1031</v>
      </c>
      <c r="D253" s="1">
        <v>45892</v>
      </c>
      <c r="E253" s="1">
        <v>45920</v>
      </c>
      <c r="F253" t="s">
        <v>1016</v>
      </c>
      <c r="G253" t="s">
        <v>1023</v>
      </c>
      <c r="H253" t="s">
        <v>1016</v>
      </c>
      <c r="I253" t="s">
        <v>1016</v>
      </c>
      <c r="J253" t="s">
        <v>1019</v>
      </c>
      <c r="K253">
        <v>14057</v>
      </c>
      <c r="L253" t="s">
        <v>1024</v>
      </c>
      <c r="M253">
        <v>46</v>
      </c>
      <c r="N253" t="s">
        <v>1030</v>
      </c>
    </row>
    <row r="254" spans="1:14" x14ac:dyDescent="0.3">
      <c r="A254" t="s">
        <v>266</v>
      </c>
      <c r="B254" t="s">
        <v>1026</v>
      </c>
      <c r="C254" t="s">
        <v>1015</v>
      </c>
      <c r="D254" s="1">
        <v>45658</v>
      </c>
      <c r="E254" s="1">
        <v>45666</v>
      </c>
      <c r="F254" t="s">
        <v>1016</v>
      </c>
      <c r="G254" t="s">
        <v>1027</v>
      </c>
      <c r="H254" t="s">
        <v>1018</v>
      </c>
      <c r="I254" t="s">
        <v>1018</v>
      </c>
      <c r="J254" t="s">
        <v>1027</v>
      </c>
      <c r="K254">
        <v>0</v>
      </c>
      <c r="L254" t="s">
        <v>1028</v>
      </c>
      <c r="M254">
        <v>17</v>
      </c>
      <c r="N254" t="s">
        <v>1030</v>
      </c>
    </row>
    <row r="255" spans="1:14" x14ac:dyDescent="0.3">
      <c r="A255" t="s">
        <v>267</v>
      </c>
      <c r="B255" t="s">
        <v>1026</v>
      </c>
      <c r="C255" t="s">
        <v>1035</v>
      </c>
      <c r="D255" s="1">
        <v>45733</v>
      </c>
      <c r="E255" s="1">
        <v>45754</v>
      </c>
      <c r="F255" t="s">
        <v>1016</v>
      </c>
      <c r="G255" t="s">
        <v>1027</v>
      </c>
      <c r="H255" t="s">
        <v>1018</v>
      </c>
      <c r="I255" t="s">
        <v>1018</v>
      </c>
      <c r="J255" t="s">
        <v>1027</v>
      </c>
      <c r="K255">
        <v>0</v>
      </c>
      <c r="L255" t="s">
        <v>1028</v>
      </c>
      <c r="M255">
        <v>41</v>
      </c>
      <c r="N255" t="s">
        <v>1025</v>
      </c>
    </row>
    <row r="256" spans="1:14" x14ac:dyDescent="0.3">
      <c r="A256" t="s">
        <v>268</v>
      </c>
      <c r="B256" t="s">
        <v>1014</v>
      </c>
      <c r="C256" t="s">
        <v>1035</v>
      </c>
      <c r="D256" s="1">
        <v>45851</v>
      </c>
      <c r="E256" s="1">
        <v>45875</v>
      </c>
      <c r="F256" t="s">
        <v>1016</v>
      </c>
      <c r="G256" t="s">
        <v>1027</v>
      </c>
      <c r="H256" t="s">
        <v>1018</v>
      </c>
      <c r="I256" t="s">
        <v>1018</v>
      </c>
      <c r="J256" t="s">
        <v>1027</v>
      </c>
      <c r="K256">
        <v>0</v>
      </c>
      <c r="L256" t="s">
        <v>1028</v>
      </c>
      <c r="M256">
        <v>64</v>
      </c>
      <c r="N256" t="s">
        <v>1036</v>
      </c>
    </row>
    <row r="257" spans="1:14" x14ac:dyDescent="0.3">
      <c r="A257" t="s">
        <v>269</v>
      </c>
      <c r="B257" t="s">
        <v>1026</v>
      </c>
      <c r="C257" t="s">
        <v>1035</v>
      </c>
      <c r="D257" s="1">
        <v>45911</v>
      </c>
      <c r="E257" s="1">
        <v>45933</v>
      </c>
      <c r="F257" t="s">
        <v>1016</v>
      </c>
      <c r="G257" t="s">
        <v>1023</v>
      </c>
      <c r="H257" t="s">
        <v>1016</v>
      </c>
      <c r="I257" t="s">
        <v>1018</v>
      </c>
      <c r="J257" t="s">
        <v>1027</v>
      </c>
      <c r="K257">
        <v>0</v>
      </c>
      <c r="L257" t="s">
        <v>1028</v>
      </c>
      <c r="M257">
        <v>46</v>
      </c>
      <c r="N257" t="s">
        <v>1025</v>
      </c>
    </row>
    <row r="258" spans="1:14" x14ac:dyDescent="0.3">
      <c r="A258" t="s">
        <v>270</v>
      </c>
      <c r="B258" t="s">
        <v>1037</v>
      </c>
      <c r="C258" t="s">
        <v>1033</v>
      </c>
      <c r="D258" s="1">
        <v>45678</v>
      </c>
      <c r="E258" s="1">
        <v>45717</v>
      </c>
      <c r="F258" t="s">
        <v>1018</v>
      </c>
      <c r="G258" t="s">
        <v>1017</v>
      </c>
      <c r="H258" t="s">
        <v>1018</v>
      </c>
      <c r="I258" t="s">
        <v>1018</v>
      </c>
      <c r="J258" t="s">
        <v>1019</v>
      </c>
      <c r="K258">
        <v>62049</v>
      </c>
      <c r="L258" t="s">
        <v>1020</v>
      </c>
      <c r="M258">
        <v>47</v>
      </c>
      <c r="N258" t="s">
        <v>1021</v>
      </c>
    </row>
    <row r="259" spans="1:14" x14ac:dyDescent="0.3">
      <c r="A259" t="s">
        <v>271</v>
      </c>
      <c r="B259" t="s">
        <v>1014</v>
      </c>
      <c r="C259" t="s">
        <v>1035</v>
      </c>
      <c r="D259" s="1">
        <v>45918</v>
      </c>
      <c r="E259" s="1">
        <v>45926</v>
      </c>
      <c r="F259" t="s">
        <v>1016</v>
      </c>
      <c r="G259" t="s">
        <v>1017</v>
      </c>
      <c r="H259" t="s">
        <v>1018</v>
      </c>
      <c r="I259" t="s">
        <v>1018</v>
      </c>
      <c r="J259" t="s">
        <v>1019</v>
      </c>
      <c r="K259">
        <v>133266</v>
      </c>
      <c r="L259" t="s">
        <v>1020</v>
      </c>
      <c r="M259">
        <v>13</v>
      </c>
      <c r="N259" t="s">
        <v>1025</v>
      </c>
    </row>
    <row r="260" spans="1:14" x14ac:dyDescent="0.3">
      <c r="A260" t="s">
        <v>272</v>
      </c>
      <c r="B260" t="s">
        <v>1014</v>
      </c>
      <c r="C260" t="s">
        <v>1035</v>
      </c>
      <c r="D260" s="1">
        <v>46002</v>
      </c>
      <c r="E260" s="1">
        <v>46044</v>
      </c>
      <c r="F260" t="s">
        <v>1018</v>
      </c>
      <c r="G260" t="s">
        <v>1023</v>
      </c>
      <c r="H260" t="s">
        <v>1016</v>
      </c>
      <c r="I260" t="s">
        <v>1016</v>
      </c>
      <c r="J260" t="s">
        <v>1019</v>
      </c>
      <c r="K260">
        <v>112886</v>
      </c>
      <c r="L260" t="s">
        <v>1020</v>
      </c>
      <c r="M260">
        <v>81</v>
      </c>
      <c r="N260" t="s">
        <v>1030</v>
      </c>
    </row>
    <row r="261" spans="1:14" x14ac:dyDescent="0.3">
      <c r="A261" t="s">
        <v>273</v>
      </c>
      <c r="B261" t="s">
        <v>1026</v>
      </c>
      <c r="C261" t="s">
        <v>1031</v>
      </c>
      <c r="D261" s="1">
        <v>45787</v>
      </c>
      <c r="E261" s="1">
        <v>45808</v>
      </c>
      <c r="F261" t="s">
        <v>1016</v>
      </c>
      <c r="G261" t="s">
        <v>1023</v>
      </c>
      <c r="H261" t="s">
        <v>1016</v>
      </c>
      <c r="I261" t="s">
        <v>1016</v>
      </c>
      <c r="J261" t="s">
        <v>1019</v>
      </c>
      <c r="K261">
        <v>18151</v>
      </c>
      <c r="L261" t="s">
        <v>1020</v>
      </c>
      <c r="M261">
        <v>34</v>
      </c>
      <c r="N261" t="s">
        <v>1030</v>
      </c>
    </row>
    <row r="262" spans="1:14" x14ac:dyDescent="0.3">
      <c r="A262" t="s">
        <v>274</v>
      </c>
      <c r="B262" t="s">
        <v>1026</v>
      </c>
      <c r="C262" t="s">
        <v>1031</v>
      </c>
      <c r="D262" s="1">
        <v>45741</v>
      </c>
      <c r="E262" s="1">
        <v>45742</v>
      </c>
      <c r="F262" t="s">
        <v>1016</v>
      </c>
      <c r="G262" t="s">
        <v>1027</v>
      </c>
      <c r="H262" t="s">
        <v>1018</v>
      </c>
      <c r="I262" t="s">
        <v>1018</v>
      </c>
      <c r="J262" t="s">
        <v>1027</v>
      </c>
      <c r="K262">
        <v>0</v>
      </c>
      <c r="L262" t="s">
        <v>1028</v>
      </c>
      <c r="M262">
        <v>36</v>
      </c>
      <c r="N262" t="s">
        <v>1030</v>
      </c>
    </row>
    <row r="263" spans="1:14" x14ac:dyDescent="0.3">
      <c r="A263" t="s">
        <v>275</v>
      </c>
      <c r="B263" t="s">
        <v>1034</v>
      </c>
      <c r="C263" t="s">
        <v>1033</v>
      </c>
      <c r="D263" s="1">
        <v>45877</v>
      </c>
      <c r="E263" s="1">
        <v>45914</v>
      </c>
      <c r="F263" t="s">
        <v>1018</v>
      </c>
      <c r="G263" t="s">
        <v>1023</v>
      </c>
      <c r="H263" t="s">
        <v>1016</v>
      </c>
      <c r="I263" t="s">
        <v>1016</v>
      </c>
      <c r="J263" t="s">
        <v>1019</v>
      </c>
      <c r="K263">
        <v>104595</v>
      </c>
      <c r="L263" t="s">
        <v>1024</v>
      </c>
      <c r="M263">
        <v>49</v>
      </c>
      <c r="N263" t="s">
        <v>1025</v>
      </c>
    </row>
    <row r="264" spans="1:14" x14ac:dyDescent="0.3">
      <c r="A264" t="s">
        <v>276</v>
      </c>
      <c r="B264" t="s">
        <v>1029</v>
      </c>
      <c r="C264" t="s">
        <v>1035</v>
      </c>
      <c r="D264" s="1">
        <v>45824</v>
      </c>
      <c r="E264" s="1">
        <v>45858</v>
      </c>
      <c r="F264" t="s">
        <v>1018</v>
      </c>
      <c r="G264" t="s">
        <v>1017</v>
      </c>
      <c r="H264" t="s">
        <v>1018</v>
      </c>
      <c r="I264" t="s">
        <v>1018</v>
      </c>
      <c r="J264" t="s">
        <v>1019</v>
      </c>
      <c r="K264">
        <v>201628</v>
      </c>
      <c r="L264" t="s">
        <v>1020</v>
      </c>
      <c r="M264">
        <v>40</v>
      </c>
      <c r="N264" t="s">
        <v>1036</v>
      </c>
    </row>
    <row r="265" spans="1:14" x14ac:dyDescent="0.3">
      <c r="A265" t="s">
        <v>277</v>
      </c>
      <c r="B265" t="s">
        <v>1037</v>
      </c>
      <c r="C265" t="s">
        <v>1015</v>
      </c>
      <c r="D265" s="1">
        <v>45662</v>
      </c>
      <c r="E265" s="1">
        <v>45687</v>
      </c>
      <c r="F265" t="s">
        <v>1016</v>
      </c>
      <c r="G265" t="s">
        <v>1027</v>
      </c>
      <c r="H265" t="s">
        <v>1018</v>
      </c>
      <c r="I265" t="s">
        <v>1018</v>
      </c>
      <c r="J265" t="s">
        <v>1027</v>
      </c>
      <c r="K265">
        <v>0</v>
      </c>
      <c r="L265" t="s">
        <v>1028</v>
      </c>
      <c r="M265">
        <v>56</v>
      </c>
      <c r="N265" t="s">
        <v>1030</v>
      </c>
    </row>
    <row r="266" spans="1:14" x14ac:dyDescent="0.3">
      <c r="A266" t="s">
        <v>278</v>
      </c>
      <c r="B266" t="s">
        <v>1034</v>
      </c>
      <c r="C266" t="s">
        <v>1031</v>
      </c>
      <c r="D266" s="1">
        <v>45996</v>
      </c>
      <c r="E266" s="1">
        <v>46031</v>
      </c>
      <c r="F266" t="s">
        <v>1018</v>
      </c>
      <c r="G266" t="s">
        <v>1023</v>
      </c>
      <c r="H266" t="s">
        <v>1016</v>
      </c>
      <c r="I266" t="s">
        <v>1016</v>
      </c>
      <c r="J266" t="s">
        <v>1019</v>
      </c>
      <c r="K266">
        <v>103732</v>
      </c>
      <c r="L266" t="s">
        <v>1020</v>
      </c>
      <c r="M266">
        <v>74</v>
      </c>
      <c r="N266" t="s">
        <v>1030</v>
      </c>
    </row>
    <row r="267" spans="1:14" x14ac:dyDescent="0.3">
      <c r="A267" t="s">
        <v>279</v>
      </c>
      <c r="B267" t="s">
        <v>1014</v>
      </c>
      <c r="C267" t="s">
        <v>1015</v>
      </c>
      <c r="D267" s="1">
        <v>45750</v>
      </c>
      <c r="E267" s="1">
        <v>45771</v>
      </c>
      <c r="F267" t="s">
        <v>1016</v>
      </c>
      <c r="G267" t="s">
        <v>1017</v>
      </c>
      <c r="H267" t="s">
        <v>1018</v>
      </c>
      <c r="I267" t="s">
        <v>1018</v>
      </c>
      <c r="J267" t="s">
        <v>1019</v>
      </c>
      <c r="K267">
        <v>167703</v>
      </c>
      <c r="L267" t="s">
        <v>1020</v>
      </c>
      <c r="M267">
        <v>28</v>
      </c>
      <c r="N267" t="s">
        <v>1025</v>
      </c>
    </row>
    <row r="268" spans="1:14" x14ac:dyDescent="0.3">
      <c r="A268" t="s">
        <v>280</v>
      </c>
      <c r="B268" t="s">
        <v>1034</v>
      </c>
      <c r="C268" t="s">
        <v>1015</v>
      </c>
      <c r="D268" s="1">
        <v>45912</v>
      </c>
      <c r="E268" s="1">
        <v>45955</v>
      </c>
      <c r="F268" t="s">
        <v>1018</v>
      </c>
      <c r="G268" t="s">
        <v>1023</v>
      </c>
      <c r="H268" t="s">
        <v>1016</v>
      </c>
      <c r="I268" t="s">
        <v>1016</v>
      </c>
      <c r="J268" t="s">
        <v>1019</v>
      </c>
      <c r="K268">
        <v>47787</v>
      </c>
      <c r="L268" t="s">
        <v>1020</v>
      </c>
      <c r="M268">
        <v>67</v>
      </c>
      <c r="N268" t="s">
        <v>1021</v>
      </c>
    </row>
    <row r="269" spans="1:14" x14ac:dyDescent="0.3">
      <c r="A269" t="s">
        <v>281</v>
      </c>
      <c r="B269" t="s">
        <v>1026</v>
      </c>
      <c r="C269" t="s">
        <v>1022</v>
      </c>
      <c r="D269" s="1">
        <v>45817</v>
      </c>
      <c r="E269" s="1">
        <v>45824</v>
      </c>
      <c r="F269" t="s">
        <v>1016</v>
      </c>
      <c r="G269" t="s">
        <v>1017</v>
      </c>
      <c r="H269" t="s">
        <v>1018</v>
      </c>
      <c r="I269" t="s">
        <v>1018</v>
      </c>
      <c r="J269" t="s">
        <v>1019</v>
      </c>
      <c r="K269">
        <v>44786</v>
      </c>
      <c r="L269" t="s">
        <v>1024</v>
      </c>
      <c r="M269">
        <v>30</v>
      </c>
      <c r="N269" t="s">
        <v>1036</v>
      </c>
    </row>
    <row r="270" spans="1:14" x14ac:dyDescent="0.3">
      <c r="A270" t="s">
        <v>282</v>
      </c>
      <c r="B270" t="s">
        <v>1014</v>
      </c>
      <c r="C270" t="s">
        <v>1031</v>
      </c>
      <c r="D270" s="1">
        <v>45932</v>
      </c>
      <c r="E270" s="1">
        <v>45934</v>
      </c>
      <c r="F270" t="s">
        <v>1016</v>
      </c>
      <c r="G270" t="s">
        <v>1023</v>
      </c>
      <c r="H270" t="s">
        <v>1016</v>
      </c>
      <c r="I270" t="s">
        <v>1016</v>
      </c>
      <c r="J270" t="s">
        <v>1019</v>
      </c>
      <c r="K270">
        <v>180375</v>
      </c>
      <c r="L270" t="s">
        <v>1020</v>
      </c>
      <c r="M270">
        <v>8</v>
      </c>
      <c r="N270" t="s">
        <v>1025</v>
      </c>
    </row>
    <row r="271" spans="1:14" x14ac:dyDescent="0.3">
      <c r="A271" t="s">
        <v>283</v>
      </c>
      <c r="B271" t="s">
        <v>1032</v>
      </c>
      <c r="C271" t="s">
        <v>1035</v>
      </c>
      <c r="D271" s="1">
        <v>45842</v>
      </c>
      <c r="E271" s="1">
        <v>45846</v>
      </c>
      <c r="F271" t="s">
        <v>1016</v>
      </c>
      <c r="G271" t="s">
        <v>1027</v>
      </c>
      <c r="H271" t="s">
        <v>1018</v>
      </c>
      <c r="I271" t="s">
        <v>1018</v>
      </c>
      <c r="J271" t="s">
        <v>1027</v>
      </c>
      <c r="K271">
        <v>0</v>
      </c>
      <c r="L271" t="s">
        <v>1028</v>
      </c>
      <c r="M271">
        <v>39</v>
      </c>
      <c r="N271" t="s">
        <v>1030</v>
      </c>
    </row>
    <row r="272" spans="1:14" x14ac:dyDescent="0.3">
      <c r="A272" t="s">
        <v>284</v>
      </c>
      <c r="B272" t="s">
        <v>1032</v>
      </c>
      <c r="C272" t="s">
        <v>1031</v>
      </c>
      <c r="D272" s="1">
        <v>45881</v>
      </c>
      <c r="E272" s="1">
        <v>45895</v>
      </c>
      <c r="F272" t="s">
        <v>1016</v>
      </c>
      <c r="G272" t="s">
        <v>1023</v>
      </c>
      <c r="H272" t="s">
        <v>1016</v>
      </c>
      <c r="I272" t="s">
        <v>1018</v>
      </c>
      <c r="J272" t="s">
        <v>1027</v>
      </c>
      <c r="K272">
        <v>0</v>
      </c>
      <c r="L272" t="s">
        <v>1028</v>
      </c>
      <c r="M272">
        <v>21</v>
      </c>
      <c r="N272" t="s">
        <v>1030</v>
      </c>
    </row>
    <row r="273" spans="1:14" x14ac:dyDescent="0.3">
      <c r="A273" t="s">
        <v>285</v>
      </c>
      <c r="B273" t="s">
        <v>1034</v>
      </c>
      <c r="C273" t="s">
        <v>1015</v>
      </c>
      <c r="D273" s="1">
        <v>45758</v>
      </c>
      <c r="E273" s="1">
        <v>45772</v>
      </c>
      <c r="F273" t="s">
        <v>1016</v>
      </c>
      <c r="G273" t="s">
        <v>1027</v>
      </c>
      <c r="H273" t="s">
        <v>1018</v>
      </c>
      <c r="I273" t="s">
        <v>1018</v>
      </c>
      <c r="J273" t="s">
        <v>1027</v>
      </c>
      <c r="K273">
        <v>0</v>
      </c>
      <c r="L273" t="s">
        <v>1028</v>
      </c>
      <c r="M273">
        <v>45</v>
      </c>
      <c r="N273" t="s">
        <v>1030</v>
      </c>
    </row>
    <row r="274" spans="1:14" x14ac:dyDescent="0.3">
      <c r="A274" t="s">
        <v>286</v>
      </c>
      <c r="B274" t="s">
        <v>1034</v>
      </c>
      <c r="C274" t="s">
        <v>1035</v>
      </c>
      <c r="D274" s="1">
        <v>45754</v>
      </c>
      <c r="E274" s="1">
        <v>45788</v>
      </c>
      <c r="F274" t="s">
        <v>1018</v>
      </c>
      <c r="G274" t="s">
        <v>1023</v>
      </c>
      <c r="H274" t="s">
        <v>1016</v>
      </c>
      <c r="I274" t="s">
        <v>1016</v>
      </c>
      <c r="J274" t="s">
        <v>1019</v>
      </c>
      <c r="K274">
        <v>164734</v>
      </c>
      <c r="L274" t="s">
        <v>1020</v>
      </c>
      <c r="M274">
        <v>72</v>
      </c>
      <c r="N274" t="s">
        <v>1021</v>
      </c>
    </row>
    <row r="275" spans="1:14" x14ac:dyDescent="0.3">
      <c r="A275" t="s">
        <v>287</v>
      </c>
      <c r="B275" t="s">
        <v>1014</v>
      </c>
      <c r="C275" t="s">
        <v>1033</v>
      </c>
      <c r="D275" s="1">
        <v>45771</v>
      </c>
      <c r="E275" s="1">
        <v>45788</v>
      </c>
      <c r="F275" t="s">
        <v>1016</v>
      </c>
      <c r="G275" t="s">
        <v>1017</v>
      </c>
      <c r="H275" t="s">
        <v>1018</v>
      </c>
      <c r="I275" t="s">
        <v>1018</v>
      </c>
      <c r="J275" t="s">
        <v>1019</v>
      </c>
      <c r="K275">
        <v>21846</v>
      </c>
      <c r="L275" t="s">
        <v>1020</v>
      </c>
      <c r="M275">
        <v>40</v>
      </c>
      <c r="N275" t="s">
        <v>1036</v>
      </c>
    </row>
    <row r="276" spans="1:14" x14ac:dyDescent="0.3">
      <c r="A276" t="s">
        <v>288</v>
      </c>
      <c r="B276" t="s">
        <v>1037</v>
      </c>
      <c r="C276" t="s">
        <v>1015</v>
      </c>
      <c r="D276" s="1">
        <v>45983</v>
      </c>
      <c r="E276" s="1">
        <v>45998</v>
      </c>
      <c r="F276" t="s">
        <v>1016</v>
      </c>
      <c r="G276" t="s">
        <v>1017</v>
      </c>
      <c r="H276" t="s">
        <v>1018</v>
      </c>
      <c r="I276" t="s">
        <v>1018</v>
      </c>
      <c r="J276" t="s">
        <v>1019</v>
      </c>
      <c r="K276">
        <v>130925</v>
      </c>
      <c r="L276" t="s">
        <v>1020</v>
      </c>
      <c r="M276">
        <v>37</v>
      </c>
      <c r="N276" t="s">
        <v>1021</v>
      </c>
    </row>
    <row r="277" spans="1:14" x14ac:dyDescent="0.3">
      <c r="A277" t="s">
        <v>289</v>
      </c>
      <c r="B277" t="s">
        <v>1029</v>
      </c>
      <c r="C277" t="s">
        <v>1035</v>
      </c>
      <c r="D277" s="1">
        <v>45717</v>
      </c>
      <c r="E277" s="1">
        <v>45727</v>
      </c>
      <c r="F277" t="s">
        <v>1016</v>
      </c>
      <c r="G277" t="s">
        <v>1023</v>
      </c>
      <c r="H277" t="s">
        <v>1016</v>
      </c>
      <c r="I277" t="s">
        <v>1016</v>
      </c>
      <c r="J277" t="s">
        <v>1019</v>
      </c>
      <c r="K277">
        <v>61230</v>
      </c>
      <c r="L277" t="s">
        <v>1020</v>
      </c>
      <c r="M277">
        <v>23</v>
      </c>
      <c r="N277" t="s">
        <v>1036</v>
      </c>
    </row>
    <row r="278" spans="1:14" x14ac:dyDescent="0.3">
      <c r="A278" t="s">
        <v>290</v>
      </c>
      <c r="B278" t="s">
        <v>1014</v>
      </c>
      <c r="C278" t="s">
        <v>1035</v>
      </c>
      <c r="D278" s="1">
        <v>45934</v>
      </c>
      <c r="E278" s="1">
        <v>45936</v>
      </c>
      <c r="F278" t="s">
        <v>1016</v>
      </c>
      <c r="G278" t="s">
        <v>1023</v>
      </c>
      <c r="H278" t="s">
        <v>1016</v>
      </c>
      <c r="I278" t="s">
        <v>1016</v>
      </c>
      <c r="J278" t="s">
        <v>1019</v>
      </c>
      <c r="K278">
        <v>44020</v>
      </c>
      <c r="L278" t="s">
        <v>1020</v>
      </c>
      <c r="M278">
        <v>15</v>
      </c>
      <c r="N278" t="s">
        <v>1021</v>
      </c>
    </row>
    <row r="279" spans="1:14" x14ac:dyDescent="0.3">
      <c r="A279" t="s">
        <v>291</v>
      </c>
      <c r="B279" t="s">
        <v>1014</v>
      </c>
      <c r="C279" t="s">
        <v>1015</v>
      </c>
      <c r="D279" s="1">
        <v>45834</v>
      </c>
      <c r="E279" s="1">
        <v>45841</v>
      </c>
      <c r="F279" t="s">
        <v>1016</v>
      </c>
      <c r="G279" t="s">
        <v>1017</v>
      </c>
      <c r="H279" t="s">
        <v>1018</v>
      </c>
      <c r="I279" t="s">
        <v>1018</v>
      </c>
      <c r="J279" t="s">
        <v>1019</v>
      </c>
      <c r="K279">
        <v>137330</v>
      </c>
      <c r="L279" t="s">
        <v>1020</v>
      </c>
      <c r="M279">
        <v>16</v>
      </c>
      <c r="N279" t="s">
        <v>1036</v>
      </c>
    </row>
    <row r="280" spans="1:14" x14ac:dyDescent="0.3">
      <c r="A280" t="s">
        <v>292</v>
      </c>
      <c r="B280" t="s">
        <v>1029</v>
      </c>
      <c r="C280" t="s">
        <v>1015</v>
      </c>
      <c r="D280" s="1">
        <v>45911</v>
      </c>
      <c r="E280" s="1">
        <v>45920</v>
      </c>
      <c r="F280" t="s">
        <v>1016</v>
      </c>
      <c r="G280" t="s">
        <v>1027</v>
      </c>
      <c r="H280" t="s">
        <v>1018</v>
      </c>
      <c r="I280" t="s">
        <v>1018</v>
      </c>
      <c r="J280" t="s">
        <v>1027</v>
      </c>
      <c r="K280">
        <v>0</v>
      </c>
      <c r="L280" t="s">
        <v>1028</v>
      </c>
      <c r="M280">
        <v>22</v>
      </c>
      <c r="N280" t="s">
        <v>1030</v>
      </c>
    </row>
    <row r="281" spans="1:14" x14ac:dyDescent="0.3">
      <c r="A281" t="s">
        <v>293</v>
      </c>
      <c r="B281" t="s">
        <v>1014</v>
      </c>
      <c r="C281" t="s">
        <v>1031</v>
      </c>
      <c r="D281" s="1">
        <v>45951</v>
      </c>
      <c r="E281" s="1">
        <v>45959</v>
      </c>
      <c r="F281" t="s">
        <v>1016</v>
      </c>
      <c r="G281" t="s">
        <v>1027</v>
      </c>
      <c r="H281" t="s">
        <v>1018</v>
      </c>
      <c r="I281" t="s">
        <v>1018</v>
      </c>
      <c r="J281" t="s">
        <v>1027</v>
      </c>
      <c r="K281">
        <v>0</v>
      </c>
      <c r="L281" t="s">
        <v>1028</v>
      </c>
      <c r="M281">
        <v>26</v>
      </c>
      <c r="N281" t="s">
        <v>1025</v>
      </c>
    </row>
    <row r="282" spans="1:14" x14ac:dyDescent="0.3">
      <c r="A282" t="s">
        <v>294</v>
      </c>
      <c r="B282" t="s">
        <v>1037</v>
      </c>
      <c r="C282" t="s">
        <v>1015</v>
      </c>
      <c r="D282" s="1">
        <v>45710</v>
      </c>
      <c r="E282" s="1">
        <v>45729</v>
      </c>
      <c r="F282" t="s">
        <v>1016</v>
      </c>
      <c r="G282" t="s">
        <v>1017</v>
      </c>
      <c r="H282" t="s">
        <v>1018</v>
      </c>
      <c r="I282" t="s">
        <v>1018</v>
      </c>
      <c r="J282" t="s">
        <v>1019</v>
      </c>
      <c r="K282">
        <v>172219</v>
      </c>
      <c r="L282" t="s">
        <v>1020</v>
      </c>
      <c r="M282">
        <v>26</v>
      </c>
      <c r="N282" t="s">
        <v>1036</v>
      </c>
    </row>
    <row r="283" spans="1:14" x14ac:dyDescent="0.3">
      <c r="A283" t="s">
        <v>295</v>
      </c>
      <c r="B283" t="s">
        <v>1026</v>
      </c>
      <c r="C283" t="s">
        <v>1033</v>
      </c>
      <c r="D283" s="1">
        <v>45704</v>
      </c>
      <c r="E283" s="1">
        <v>45741</v>
      </c>
      <c r="F283" t="s">
        <v>1018</v>
      </c>
      <c r="G283" t="s">
        <v>1017</v>
      </c>
      <c r="H283" t="s">
        <v>1018</v>
      </c>
      <c r="I283" t="s">
        <v>1018</v>
      </c>
      <c r="J283" t="s">
        <v>1019</v>
      </c>
      <c r="K283">
        <v>5699</v>
      </c>
      <c r="L283" t="s">
        <v>1024</v>
      </c>
      <c r="M283">
        <v>43</v>
      </c>
      <c r="N283" t="s">
        <v>1030</v>
      </c>
    </row>
    <row r="284" spans="1:14" x14ac:dyDescent="0.3">
      <c r="A284" t="s">
        <v>296</v>
      </c>
      <c r="B284" t="s">
        <v>1029</v>
      </c>
      <c r="C284" t="s">
        <v>1022</v>
      </c>
      <c r="D284" s="1">
        <v>45870</v>
      </c>
      <c r="E284" s="1">
        <v>45913</v>
      </c>
      <c r="F284" t="s">
        <v>1018</v>
      </c>
      <c r="G284" t="s">
        <v>1023</v>
      </c>
      <c r="H284" t="s">
        <v>1016</v>
      </c>
      <c r="I284" t="s">
        <v>1016</v>
      </c>
      <c r="J284" t="s">
        <v>1019</v>
      </c>
      <c r="K284">
        <v>8603</v>
      </c>
      <c r="L284" t="s">
        <v>1020</v>
      </c>
      <c r="M284">
        <v>54</v>
      </c>
      <c r="N284" t="s">
        <v>1036</v>
      </c>
    </row>
    <row r="285" spans="1:14" x14ac:dyDescent="0.3">
      <c r="A285" t="s">
        <v>297</v>
      </c>
      <c r="B285" t="s">
        <v>1034</v>
      </c>
      <c r="C285" t="s">
        <v>1015</v>
      </c>
      <c r="D285" s="1">
        <v>45840</v>
      </c>
      <c r="E285" s="1">
        <v>45852</v>
      </c>
      <c r="F285" t="s">
        <v>1016</v>
      </c>
      <c r="G285" t="s">
        <v>1017</v>
      </c>
      <c r="H285" t="s">
        <v>1018</v>
      </c>
      <c r="I285" t="s">
        <v>1018</v>
      </c>
      <c r="J285" t="s">
        <v>1019</v>
      </c>
      <c r="K285">
        <v>132317</v>
      </c>
      <c r="L285" t="s">
        <v>1020</v>
      </c>
      <c r="M285">
        <v>49</v>
      </c>
      <c r="N285" t="s">
        <v>1030</v>
      </c>
    </row>
    <row r="286" spans="1:14" x14ac:dyDescent="0.3">
      <c r="A286" t="s">
        <v>298</v>
      </c>
      <c r="B286" t="s">
        <v>1026</v>
      </c>
      <c r="C286" t="s">
        <v>1031</v>
      </c>
      <c r="D286" s="1">
        <v>45717</v>
      </c>
      <c r="E286" s="1">
        <v>45739</v>
      </c>
      <c r="F286" t="s">
        <v>1016</v>
      </c>
      <c r="G286" t="s">
        <v>1027</v>
      </c>
      <c r="H286" t="s">
        <v>1018</v>
      </c>
      <c r="I286" t="s">
        <v>1018</v>
      </c>
      <c r="J286" t="s">
        <v>1027</v>
      </c>
      <c r="K286">
        <v>0</v>
      </c>
      <c r="L286" t="s">
        <v>1028</v>
      </c>
      <c r="M286">
        <v>48</v>
      </c>
      <c r="N286" t="s">
        <v>1030</v>
      </c>
    </row>
    <row r="287" spans="1:14" x14ac:dyDescent="0.3">
      <c r="A287" t="s">
        <v>299</v>
      </c>
      <c r="B287" t="s">
        <v>1014</v>
      </c>
      <c r="C287" t="s">
        <v>1033</v>
      </c>
      <c r="D287" s="1">
        <v>45902</v>
      </c>
      <c r="E287" s="1">
        <v>45934</v>
      </c>
      <c r="F287" t="s">
        <v>1018</v>
      </c>
      <c r="G287" t="s">
        <v>1027</v>
      </c>
      <c r="H287" t="s">
        <v>1018</v>
      </c>
      <c r="I287" t="s">
        <v>1018</v>
      </c>
      <c r="J287" t="s">
        <v>1027</v>
      </c>
      <c r="K287">
        <v>0</v>
      </c>
      <c r="L287" t="s">
        <v>1028</v>
      </c>
      <c r="M287">
        <v>39</v>
      </c>
      <c r="N287" t="s">
        <v>1021</v>
      </c>
    </row>
    <row r="288" spans="1:14" x14ac:dyDescent="0.3">
      <c r="A288" t="s">
        <v>300</v>
      </c>
      <c r="B288" t="s">
        <v>1029</v>
      </c>
      <c r="C288" t="s">
        <v>1033</v>
      </c>
      <c r="D288" s="1">
        <v>45796</v>
      </c>
      <c r="E288" s="1">
        <v>45840</v>
      </c>
      <c r="F288" t="s">
        <v>1018</v>
      </c>
      <c r="G288" t="s">
        <v>1023</v>
      </c>
      <c r="H288" t="s">
        <v>1016</v>
      </c>
      <c r="I288" t="s">
        <v>1016</v>
      </c>
      <c r="J288" t="s">
        <v>1019</v>
      </c>
      <c r="K288">
        <v>184886</v>
      </c>
      <c r="L288" t="s">
        <v>1020</v>
      </c>
      <c r="M288">
        <v>64</v>
      </c>
      <c r="N288" t="s">
        <v>1036</v>
      </c>
    </row>
    <row r="289" spans="1:14" x14ac:dyDescent="0.3">
      <c r="A289" t="s">
        <v>301</v>
      </c>
      <c r="B289" t="s">
        <v>1034</v>
      </c>
      <c r="C289" t="s">
        <v>1035</v>
      </c>
      <c r="D289" s="1">
        <v>45897</v>
      </c>
      <c r="E289" s="1">
        <v>45915</v>
      </c>
      <c r="F289" t="s">
        <v>1016</v>
      </c>
      <c r="G289" t="s">
        <v>1023</v>
      </c>
      <c r="H289" t="s">
        <v>1016</v>
      </c>
      <c r="I289" t="s">
        <v>1016</v>
      </c>
      <c r="J289" t="s">
        <v>1019</v>
      </c>
      <c r="K289">
        <v>88687</v>
      </c>
      <c r="L289" t="s">
        <v>1020</v>
      </c>
      <c r="M289">
        <v>49</v>
      </c>
      <c r="N289" t="s">
        <v>1036</v>
      </c>
    </row>
    <row r="290" spans="1:14" x14ac:dyDescent="0.3">
      <c r="A290" t="s">
        <v>302</v>
      </c>
      <c r="B290" t="s">
        <v>1037</v>
      </c>
      <c r="C290" t="s">
        <v>1031</v>
      </c>
      <c r="D290" s="1">
        <v>45980</v>
      </c>
      <c r="E290" s="1">
        <v>46007</v>
      </c>
      <c r="F290" t="s">
        <v>1016</v>
      </c>
      <c r="G290" t="s">
        <v>1027</v>
      </c>
      <c r="H290" t="s">
        <v>1018</v>
      </c>
      <c r="I290" t="s">
        <v>1018</v>
      </c>
      <c r="J290" t="s">
        <v>1027</v>
      </c>
      <c r="K290">
        <v>0</v>
      </c>
      <c r="L290" t="s">
        <v>1028</v>
      </c>
      <c r="M290">
        <v>47</v>
      </c>
      <c r="N290" t="s">
        <v>1030</v>
      </c>
    </row>
    <row r="291" spans="1:14" x14ac:dyDescent="0.3">
      <c r="A291" t="s">
        <v>303</v>
      </c>
      <c r="B291" t="s">
        <v>1026</v>
      </c>
      <c r="C291" t="s">
        <v>1031</v>
      </c>
      <c r="D291" s="1">
        <v>45866</v>
      </c>
      <c r="E291" s="1">
        <v>45881</v>
      </c>
      <c r="F291" t="s">
        <v>1016</v>
      </c>
      <c r="G291" t="s">
        <v>1023</v>
      </c>
      <c r="H291" t="s">
        <v>1016</v>
      </c>
      <c r="I291" t="s">
        <v>1016</v>
      </c>
      <c r="J291" t="s">
        <v>1019</v>
      </c>
      <c r="K291">
        <v>44288</v>
      </c>
      <c r="L291" t="s">
        <v>1020</v>
      </c>
      <c r="M291">
        <v>41</v>
      </c>
      <c r="N291" t="s">
        <v>1030</v>
      </c>
    </row>
    <row r="292" spans="1:14" x14ac:dyDescent="0.3">
      <c r="A292" t="s">
        <v>304</v>
      </c>
      <c r="B292" t="s">
        <v>1029</v>
      </c>
      <c r="C292" t="s">
        <v>1035</v>
      </c>
      <c r="D292" s="1">
        <v>45680</v>
      </c>
      <c r="E292" s="1">
        <v>45702</v>
      </c>
      <c r="F292" t="s">
        <v>1016</v>
      </c>
      <c r="G292" t="s">
        <v>1017</v>
      </c>
      <c r="H292" t="s">
        <v>1018</v>
      </c>
      <c r="I292" t="s">
        <v>1018</v>
      </c>
      <c r="J292" t="s">
        <v>1019</v>
      </c>
      <c r="K292">
        <v>198958</v>
      </c>
      <c r="L292" t="s">
        <v>1024</v>
      </c>
      <c r="M292">
        <v>31</v>
      </c>
      <c r="N292" t="s">
        <v>1025</v>
      </c>
    </row>
    <row r="293" spans="1:14" x14ac:dyDescent="0.3">
      <c r="A293" t="s">
        <v>305</v>
      </c>
      <c r="B293" t="s">
        <v>1014</v>
      </c>
      <c r="C293" t="s">
        <v>1022</v>
      </c>
      <c r="D293" s="1">
        <v>45836</v>
      </c>
      <c r="E293" s="1">
        <v>45866</v>
      </c>
      <c r="F293" t="s">
        <v>1016</v>
      </c>
      <c r="G293" t="s">
        <v>1023</v>
      </c>
      <c r="H293" t="s">
        <v>1016</v>
      </c>
      <c r="I293" t="s">
        <v>1018</v>
      </c>
      <c r="J293" t="s">
        <v>1027</v>
      </c>
      <c r="K293">
        <v>0</v>
      </c>
      <c r="L293" t="s">
        <v>1028</v>
      </c>
      <c r="M293">
        <v>52</v>
      </c>
      <c r="N293" t="s">
        <v>1030</v>
      </c>
    </row>
    <row r="294" spans="1:14" x14ac:dyDescent="0.3">
      <c r="A294" t="s">
        <v>306</v>
      </c>
      <c r="B294" t="s">
        <v>1014</v>
      </c>
      <c r="C294" t="s">
        <v>1022</v>
      </c>
      <c r="D294" s="1">
        <v>45671</v>
      </c>
      <c r="E294" s="1">
        <v>45715</v>
      </c>
      <c r="F294" t="s">
        <v>1018</v>
      </c>
      <c r="G294" t="s">
        <v>1017</v>
      </c>
      <c r="H294" t="s">
        <v>1018</v>
      </c>
      <c r="I294" t="s">
        <v>1018</v>
      </c>
      <c r="J294" t="s">
        <v>1019</v>
      </c>
      <c r="K294">
        <v>68911</v>
      </c>
      <c r="L294" t="s">
        <v>1020</v>
      </c>
      <c r="M294">
        <v>74</v>
      </c>
      <c r="N294" t="s">
        <v>1021</v>
      </c>
    </row>
    <row r="295" spans="1:14" x14ac:dyDescent="0.3">
      <c r="A295" t="s">
        <v>307</v>
      </c>
      <c r="B295" t="s">
        <v>1032</v>
      </c>
      <c r="C295" t="s">
        <v>1015</v>
      </c>
      <c r="D295" s="1">
        <v>45939</v>
      </c>
      <c r="E295" s="1">
        <v>45965</v>
      </c>
      <c r="F295" t="s">
        <v>1016</v>
      </c>
      <c r="G295" t="s">
        <v>1017</v>
      </c>
      <c r="H295" t="s">
        <v>1018</v>
      </c>
      <c r="I295" t="s">
        <v>1018</v>
      </c>
      <c r="J295" t="s">
        <v>1019</v>
      </c>
      <c r="K295">
        <v>162981</v>
      </c>
      <c r="L295" t="s">
        <v>1020</v>
      </c>
      <c r="M295">
        <v>38</v>
      </c>
      <c r="N295" t="s">
        <v>1030</v>
      </c>
    </row>
    <row r="296" spans="1:14" x14ac:dyDescent="0.3">
      <c r="A296" t="s">
        <v>308</v>
      </c>
      <c r="B296" t="s">
        <v>1037</v>
      </c>
      <c r="C296" t="s">
        <v>1035</v>
      </c>
      <c r="D296" s="1">
        <v>45895</v>
      </c>
      <c r="E296" s="1">
        <v>45913</v>
      </c>
      <c r="F296" t="s">
        <v>1016</v>
      </c>
      <c r="G296" t="s">
        <v>1017</v>
      </c>
      <c r="H296" t="s">
        <v>1018</v>
      </c>
      <c r="I296" t="s">
        <v>1018</v>
      </c>
      <c r="J296" t="s">
        <v>1019</v>
      </c>
      <c r="K296">
        <v>196857</v>
      </c>
      <c r="L296" t="s">
        <v>1020</v>
      </c>
      <c r="M296">
        <v>47</v>
      </c>
      <c r="N296" t="s">
        <v>1021</v>
      </c>
    </row>
    <row r="297" spans="1:14" x14ac:dyDescent="0.3">
      <c r="A297" t="s">
        <v>309</v>
      </c>
      <c r="B297" t="s">
        <v>1029</v>
      </c>
      <c r="C297" t="s">
        <v>1015</v>
      </c>
      <c r="D297" s="1">
        <v>45708</v>
      </c>
      <c r="E297" s="1">
        <v>45715</v>
      </c>
      <c r="F297" t="s">
        <v>1016</v>
      </c>
      <c r="G297" t="s">
        <v>1027</v>
      </c>
      <c r="H297" t="s">
        <v>1018</v>
      </c>
      <c r="I297" t="s">
        <v>1018</v>
      </c>
      <c r="J297" t="s">
        <v>1027</v>
      </c>
      <c r="K297">
        <v>0</v>
      </c>
      <c r="L297" t="s">
        <v>1028</v>
      </c>
      <c r="M297">
        <v>26</v>
      </c>
      <c r="N297" t="s">
        <v>1021</v>
      </c>
    </row>
    <row r="298" spans="1:14" x14ac:dyDescent="0.3">
      <c r="A298" t="s">
        <v>310</v>
      </c>
      <c r="B298" t="s">
        <v>1014</v>
      </c>
      <c r="C298" t="s">
        <v>1015</v>
      </c>
      <c r="D298" s="1">
        <v>45754</v>
      </c>
      <c r="E298" s="1">
        <v>45786</v>
      </c>
      <c r="F298" t="s">
        <v>1018</v>
      </c>
      <c r="G298" t="s">
        <v>1023</v>
      </c>
      <c r="H298" t="s">
        <v>1016</v>
      </c>
      <c r="I298" t="s">
        <v>1016</v>
      </c>
      <c r="J298" t="s">
        <v>1019</v>
      </c>
      <c r="K298">
        <v>153342</v>
      </c>
      <c r="L298" t="s">
        <v>1020</v>
      </c>
      <c r="M298">
        <v>65</v>
      </c>
      <c r="N298" t="s">
        <v>1025</v>
      </c>
    </row>
    <row r="299" spans="1:14" x14ac:dyDescent="0.3">
      <c r="A299" t="s">
        <v>311</v>
      </c>
      <c r="B299" t="s">
        <v>1026</v>
      </c>
      <c r="C299" t="s">
        <v>1033</v>
      </c>
      <c r="D299" s="1">
        <v>45694</v>
      </c>
      <c r="E299" s="1">
        <v>45708</v>
      </c>
      <c r="F299" t="s">
        <v>1016</v>
      </c>
      <c r="G299" t="s">
        <v>1017</v>
      </c>
      <c r="H299" t="s">
        <v>1018</v>
      </c>
      <c r="I299" t="s">
        <v>1018</v>
      </c>
      <c r="J299" t="s">
        <v>1019</v>
      </c>
      <c r="K299">
        <v>171146</v>
      </c>
      <c r="L299" t="s">
        <v>1020</v>
      </c>
      <c r="M299">
        <v>36</v>
      </c>
      <c r="N299" t="s">
        <v>1021</v>
      </c>
    </row>
    <row r="300" spans="1:14" x14ac:dyDescent="0.3">
      <c r="A300" t="s">
        <v>312</v>
      </c>
      <c r="B300" t="s">
        <v>1026</v>
      </c>
      <c r="C300" t="s">
        <v>1022</v>
      </c>
      <c r="D300" s="1">
        <v>46002</v>
      </c>
      <c r="E300" s="1">
        <v>46027</v>
      </c>
      <c r="F300" t="s">
        <v>1016</v>
      </c>
      <c r="G300" t="s">
        <v>1023</v>
      </c>
      <c r="H300" t="s">
        <v>1016</v>
      </c>
      <c r="I300" t="s">
        <v>1016</v>
      </c>
      <c r="J300" t="s">
        <v>1019</v>
      </c>
      <c r="K300">
        <v>81778</v>
      </c>
      <c r="L300" t="s">
        <v>1020</v>
      </c>
      <c r="M300">
        <v>50</v>
      </c>
      <c r="N300" t="s">
        <v>1021</v>
      </c>
    </row>
    <row r="301" spans="1:14" x14ac:dyDescent="0.3">
      <c r="A301" t="s">
        <v>313</v>
      </c>
      <c r="B301" t="s">
        <v>1034</v>
      </c>
      <c r="C301" t="s">
        <v>1022</v>
      </c>
      <c r="D301" s="1">
        <v>45828</v>
      </c>
      <c r="E301" s="1">
        <v>45853</v>
      </c>
      <c r="F301" t="s">
        <v>1016</v>
      </c>
      <c r="G301" t="s">
        <v>1017</v>
      </c>
      <c r="H301" t="s">
        <v>1018</v>
      </c>
      <c r="I301" t="s">
        <v>1018</v>
      </c>
      <c r="J301" t="s">
        <v>1019</v>
      </c>
      <c r="K301">
        <v>77685</v>
      </c>
      <c r="L301" t="s">
        <v>1024</v>
      </c>
      <c r="M301">
        <v>36</v>
      </c>
      <c r="N301" t="s">
        <v>1030</v>
      </c>
    </row>
    <row r="302" spans="1:14" x14ac:dyDescent="0.3">
      <c r="A302" t="s">
        <v>314</v>
      </c>
      <c r="B302" t="s">
        <v>1037</v>
      </c>
      <c r="C302" t="s">
        <v>1033</v>
      </c>
      <c r="D302" s="1">
        <v>45773</v>
      </c>
      <c r="E302" s="1">
        <v>45782</v>
      </c>
      <c r="F302" t="s">
        <v>1016</v>
      </c>
      <c r="G302" t="s">
        <v>1027</v>
      </c>
      <c r="H302" t="s">
        <v>1018</v>
      </c>
      <c r="I302" t="s">
        <v>1018</v>
      </c>
      <c r="J302" t="s">
        <v>1027</v>
      </c>
      <c r="K302">
        <v>0</v>
      </c>
      <c r="L302" t="s">
        <v>1028</v>
      </c>
      <c r="M302">
        <v>35</v>
      </c>
      <c r="N302" t="s">
        <v>1025</v>
      </c>
    </row>
    <row r="303" spans="1:14" x14ac:dyDescent="0.3">
      <c r="A303" t="s">
        <v>315</v>
      </c>
      <c r="B303" t="s">
        <v>1029</v>
      </c>
      <c r="C303" t="s">
        <v>1031</v>
      </c>
      <c r="D303" s="1">
        <v>45984</v>
      </c>
      <c r="E303" s="1">
        <v>46001</v>
      </c>
      <c r="F303" t="s">
        <v>1016</v>
      </c>
      <c r="G303" t="s">
        <v>1023</v>
      </c>
      <c r="H303" t="s">
        <v>1016</v>
      </c>
      <c r="I303" t="s">
        <v>1016</v>
      </c>
      <c r="J303" t="s">
        <v>1019</v>
      </c>
      <c r="K303">
        <v>162580</v>
      </c>
      <c r="L303" t="s">
        <v>1020</v>
      </c>
      <c r="M303">
        <v>34</v>
      </c>
      <c r="N303" t="s">
        <v>1025</v>
      </c>
    </row>
    <row r="304" spans="1:14" x14ac:dyDescent="0.3">
      <c r="A304" t="s">
        <v>316</v>
      </c>
      <c r="B304" t="s">
        <v>1034</v>
      </c>
      <c r="C304" t="s">
        <v>1015</v>
      </c>
      <c r="D304" s="1">
        <v>45999</v>
      </c>
      <c r="E304" s="1">
        <v>46020</v>
      </c>
      <c r="F304" t="s">
        <v>1016</v>
      </c>
      <c r="G304" t="s">
        <v>1023</v>
      </c>
      <c r="H304" t="s">
        <v>1016</v>
      </c>
      <c r="I304" t="s">
        <v>1016</v>
      </c>
      <c r="J304" t="s">
        <v>1019</v>
      </c>
      <c r="K304">
        <v>67155</v>
      </c>
      <c r="L304" t="s">
        <v>1020</v>
      </c>
      <c r="M304">
        <v>44</v>
      </c>
      <c r="N304" t="s">
        <v>1036</v>
      </c>
    </row>
    <row r="305" spans="1:14" x14ac:dyDescent="0.3">
      <c r="A305" t="s">
        <v>317</v>
      </c>
      <c r="B305" t="s">
        <v>1014</v>
      </c>
      <c r="C305" t="s">
        <v>1035</v>
      </c>
      <c r="D305" s="1">
        <v>45858</v>
      </c>
      <c r="E305" s="1">
        <v>45888</v>
      </c>
      <c r="F305" t="s">
        <v>1016</v>
      </c>
      <c r="G305" t="s">
        <v>1017</v>
      </c>
      <c r="H305" t="s">
        <v>1018</v>
      </c>
      <c r="I305" t="s">
        <v>1018</v>
      </c>
      <c r="J305" t="s">
        <v>1019</v>
      </c>
      <c r="K305">
        <v>199166</v>
      </c>
      <c r="L305" t="s">
        <v>1020</v>
      </c>
      <c r="M305">
        <v>67</v>
      </c>
      <c r="N305" t="s">
        <v>1021</v>
      </c>
    </row>
    <row r="306" spans="1:14" x14ac:dyDescent="0.3">
      <c r="A306" t="s">
        <v>318</v>
      </c>
      <c r="B306" t="s">
        <v>1014</v>
      </c>
      <c r="C306" t="s">
        <v>1022</v>
      </c>
      <c r="D306" s="1">
        <v>46007</v>
      </c>
      <c r="E306" s="1">
        <v>46043</v>
      </c>
      <c r="F306" t="s">
        <v>1018</v>
      </c>
      <c r="G306" t="s">
        <v>1023</v>
      </c>
      <c r="H306" t="s">
        <v>1016</v>
      </c>
      <c r="I306" t="s">
        <v>1016</v>
      </c>
      <c r="J306" t="s">
        <v>1019</v>
      </c>
      <c r="K306">
        <v>170562</v>
      </c>
      <c r="L306" t="s">
        <v>1020</v>
      </c>
      <c r="M306">
        <v>42</v>
      </c>
      <c r="N306" t="s">
        <v>1036</v>
      </c>
    </row>
    <row r="307" spans="1:14" x14ac:dyDescent="0.3">
      <c r="A307" t="s">
        <v>319</v>
      </c>
      <c r="B307" t="s">
        <v>1026</v>
      </c>
      <c r="C307" t="s">
        <v>1035</v>
      </c>
      <c r="D307" s="1">
        <v>45731</v>
      </c>
      <c r="E307" s="1">
        <v>45761</v>
      </c>
      <c r="F307" t="s">
        <v>1016</v>
      </c>
      <c r="G307" t="s">
        <v>1027</v>
      </c>
      <c r="H307" t="s">
        <v>1018</v>
      </c>
      <c r="I307" t="s">
        <v>1018</v>
      </c>
      <c r="J307" t="s">
        <v>1027</v>
      </c>
      <c r="K307">
        <v>0</v>
      </c>
      <c r="L307" t="s">
        <v>1028</v>
      </c>
      <c r="M307">
        <v>57</v>
      </c>
      <c r="N307" t="s">
        <v>1036</v>
      </c>
    </row>
    <row r="308" spans="1:14" x14ac:dyDescent="0.3">
      <c r="A308" t="s">
        <v>320</v>
      </c>
      <c r="B308" t="s">
        <v>1037</v>
      </c>
      <c r="C308" t="s">
        <v>1035</v>
      </c>
      <c r="D308" s="1">
        <v>45799</v>
      </c>
      <c r="E308" s="1">
        <v>45842</v>
      </c>
      <c r="F308" t="s">
        <v>1018</v>
      </c>
      <c r="G308" t="s">
        <v>1017</v>
      </c>
      <c r="H308" t="s">
        <v>1018</v>
      </c>
      <c r="I308" t="s">
        <v>1018</v>
      </c>
      <c r="J308" t="s">
        <v>1019</v>
      </c>
      <c r="K308">
        <v>81146</v>
      </c>
      <c r="L308" t="s">
        <v>1020</v>
      </c>
      <c r="M308">
        <v>81</v>
      </c>
      <c r="N308" t="s">
        <v>1036</v>
      </c>
    </row>
    <row r="309" spans="1:14" x14ac:dyDescent="0.3">
      <c r="A309" t="s">
        <v>321</v>
      </c>
      <c r="B309" t="s">
        <v>1034</v>
      </c>
      <c r="C309" t="s">
        <v>1035</v>
      </c>
      <c r="D309" s="1">
        <v>45758</v>
      </c>
      <c r="E309" s="1">
        <v>45761</v>
      </c>
      <c r="F309" t="s">
        <v>1016</v>
      </c>
      <c r="G309" t="s">
        <v>1023</v>
      </c>
      <c r="H309" t="s">
        <v>1016</v>
      </c>
      <c r="I309" t="s">
        <v>1016</v>
      </c>
      <c r="J309" t="s">
        <v>1019</v>
      </c>
      <c r="K309">
        <v>133320</v>
      </c>
      <c r="L309" t="s">
        <v>1024</v>
      </c>
      <c r="M309">
        <v>12</v>
      </c>
      <c r="N309" t="s">
        <v>1025</v>
      </c>
    </row>
    <row r="310" spans="1:14" x14ac:dyDescent="0.3">
      <c r="A310" t="s">
        <v>322</v>
      </c>
      <c r="B310" t="s">
        <v>1034</v>
      </c>
      <c r="C310" t="s">
        <v>1031</v>
      </c>
      <c r="D310" s="1">
        <v>45753</v>
      </c>
      <c r="E310" s="1">
        <v>45782</v>
      </c>
      <c r="F310" t="s">
        <v>1016</v>
      </c>
      <c r="G310" t="s">
        <v>1027</v>
      </c>
      <c r="H310" t="s">
        <v>1018</v>
      </c>
      <c r="I310" t="s">
        <v>1018</v>
      </c>
      <c r="J310" t="s">
        <v>1027</v>
      </c>
      <c r="K310">
        <v>0</v>
      </c>
      <c r="L310" t="s">
        <v>1028</v>
      </c>
      <c r="M310">
        <v>59</v>
      </c>
      <c r="N310" t="s">
        <v>1030</v>
      </c>
    </row>
    <row r="311" spans="1:14" x14ac:dyDescent="0.3">
      <c r="A311" t="s">
        <v>323</v>
      </c>
      <c r="B311" t="s">
        <v>1029</v>
      </c>
      <c r="C311" t="s">
        <v>1015</v>
      </c>
      <c r="D311" s="1">
        <v>45956</v>
      </c>
      <c r="E311" s="1">
        <v>45980</v>
      </c>
      <c r="F311" t="s">
        <v>1016</v>
      </c>
      <c r="G311" t="s">
        <v>1023</v>
      </c>
      <c r="H311" t="s">
        <v>1016</v>
      </c>
      <c r="I311" t="s">
        <v>1016</v>
      </c>
      <c r="J311" t="s">
        <v>1019</v>
      </c>
      <c r="K311">
        <v>46805</v>
      </c>
      <c r="L311" t="s">
        <v>1024</v>
      </c>
      <c r="M311">
        <v>35</v>
      </c>
      <c r="N311" t="s">
        <v>1030</v>
      </c>
    </row>
    <row r="312" spans="1:14" x14ac:dyDescent="0.3">
      <c r="A312" t="s">
        <v>324</v>
      </c>
      <c r="B312" t="s">
        <v>1014</v>
      </c>
      <c r="C312" t="s">
        <v>1022</v>
      </c>
      <c r="D312" s="1">
        <v>45873</v>
      </c>
      <c r="E312" s="1">
        <v>45906</v>
      </c>
      <c r="F312" t="s">
        <v>1018</v>
      </c>
      <c r="G312" t="s">
        <v>1017</v>
      </c>
      <c r="H312" t="s">
        <v>1018</v>
      </c>
      <c r="I312" t="s">
        <v>1018</v>
      </c>
      <c r="J312" t="s">
        <v>1019</v>
      </c>
      <c r="K312">
        <v>72455</v>
      </c>
      <c r="L312" t="s">
        <v>1020</v>
      </c>
      <c r="M312">
        <v>63</v>
      </c>
      <c r="N312" t="s">
        <v>1025</v>
      </c>
    </row>
    <row r="313" spans="1:14" x14ac:dyDescent="0.3">
      <c r="A313" t="s">
        <v>325</v>
      </c>
      <c r="B313" t="s">
        <v>1034</v>
      </c>
      <c r="C313" t="s">
        <v>1015</v>
      </c>
      <c r="D313" s="1">
        <v>45778</v>
      </c>
      <c r="E313" s="1">
        <v>45817</v>
      </c>
      <c r="F313" t="s">
        <v>1018</v>
      </c>
      <c r="G313" t="s">
        <v>1017</v>
      </c>
      <c r="H313" t="s">
        <v>1018</v>
      </c>
      <c r="I313" t="s">
        <v>1018</v>
      </c>
      <c r="J313" t="s">
        <v>1019</v>
      </c>
      <c r="K313">
        <v>141257</v>
      </c>
      <c r="L313" t="s">
        <v>1020</v>
      </c>
      <c r="M313">
        <v>58</v>
      </c>
      <c r="N313" t="s">
        <v>1030</v>
      </c>
    </row>
    <row r="314" spans="1:14" x14ac:dyDescent="0.3">
      <c r="A314" t="s">
        <v>326</v>
      </c>
      <c r="B314" t="s">
        <v>1029</v>
      </c>
      <c r="C314" t="s">
        <v>1015</v>
      </c>
      <c r="D314" s="1">
        <v>46002</v>
      </c>
      <c r="E314" s="1">
        <v>46024</v>
      </c>
      <c r="F314" t="s">
        <v>1016</v>
      </c>
      <c r="G314" t="s">
        <v>1023</v>
      </c>
      <c r="H314" t="s">
        <v>1016</v>
      </c>
      <c r="I314" t="s">
        <v>1016</v>
      </c>
      <c r="J314" t="s">
        <v>1019</v>
      </c>
      <c r="K314">
        <v>65550</v>
      </c>
      <c r="L314" t="s">
        <v>1020</v>
      </c>
      <c r="M314">
        <v>62</v>
      </c>
      <c r="N314" t="s">
        <v>1030</v>
      </c>
    </row>
    <row r="315" spans="1:14" x14ac:dyDescent="0.3">
      <c r="A315" t="s">
        <v>327</v>
      </c>
      <c r="B315" t="s">
        <v>1037</v>
      </c>
      <c r="C315" t="s">
        <v>1022</v>
      </c>
      <c r="D315" s="1">
        <v>45908</v>
      </c>
      <c r="E315" s="1">
        <v>45909</v>
      </c>
      <c r="F315" t="s">
        <v>1016</v>
      </c>
      <c r="G315" t="s">
        <v>1023</v>
      </c>
      <c r="H315" t="s">
        <v>1016</v>
      </c>
      <c r="I315" t="s">
        <v>1016</v>
      </c>
      <c r="J315" t="s">
        <v>1019</v>
      </c>
      <c r="K315">
        <v>37410</v>
      </c>
      <c r="L315" t="s">
        <v>1020</v>
      </c>
      <c r="M315">
        <v>24</v>
      </c>
      <c r="N315" t="s">
        <v>1030</v>
      </c>
    </row>
    <row r="316" spans="1:14" x14ac:dyDescent="0.3">
      <c r="A316" t="s">
        <v>328</v>
      </c>
      <c r="B316" t="s">
        <v>1014</v>
      </c>
      <c r="C316" t="s">
        <v>1033</v>
      </c>
      <c r="D316" s="1">
        <v>46009</v>
      </c>
      <c r="E316" s="1">
        <v>46027</v>
      </c>
      <c r="F316" t="s">
        <v>1016</v>
      </c>
      <c r="G316" t="s">
        <v>1023</v>
      </c>
      <c r="H316" t="s">
        <v>1016</v>
      </c>
      <c r="I316" t="s">
        <v>1018</v>
      </c>
      <c r="J316" t="s">
        <v>1027</v>
      </c>
      <c r="K316">
        <v>0</v>
      </c>
      <c r="L316" t="s">
        <v>1028</v>
      </c>
      <c r="M316">
        <v>33</v>
      </c>
      <c r="N316" t="s">
        <v>1030</v>
      </c>
    </row>
    <row r="317" spans="1:14" x14ac:dyDescent="0.3">
      <c r="A317" t="s">
        <v>329</v>
      </c>
      <c r="B317" t="s">
        <v>1034</v>
      </c>
      <c r="C317" t="s">
        <v>1035</v>
      </c>
      <c r="D317" s="1">
        <v>45827</v>
      </c>
      <c r="E317" s="1">
        <v>45828</v>
      </c>
      <c r="F317" t="s">
        <v>1016</v>
      </c>
      <c r="G317" t="s">
        <v>1017</v>
      </c>
      <c r="H317" t="s">
        <v>1018</v>
      </c>
      <c r="I317" t="s">
        <v>1018</v>
      </c>
      <c r="J317" t="s">
        <v>1019</v>
      </c>
      <c r="K317">
        <v>36424</v>
      </c>
      <c r="L317" t="s">
        <v>1020</v>
      </c>
      <c r="M317">
        <v>38</v>
      </c>
      <c r="N317" t="s">
        <v>1025</v>
      </c>
    </row>
    <row r="318" spans="1:14" x14ac:dyDescent="0.3">
      <c r="A318" t="s">
        <v>330</v>
      </c>
      <c r="B318" t="s">
        <v>1014</v>
      </c>
      <c r="C318" t="s">
        <v>1035</v>
      </c>
      <c r="D318" s="1">
        <v>45987</v>
      </c>
      <c r="E318" s="1">
        <v>46012</v>
      </c>
      <c r="F318" t="s">
        <v>1016</v>
      </c>
      <c r="G318" t="s">
        <v>1023</v>
      </c>
      <c r="H318" t="s">
        <v>1016</v>
      </c>
      <c r="I318" t="s">
        <v>1016</v>
      </c>
      <c r="J318" t="s">
        <v>1019</v>
      </c>
      <c r="K318">
        <v>94723</v>
      </c>
      <c r="L318" t="s">
        <v>1020</v>
      </c>
      <c r="M318">
        <v>43</v>
      </c>
      <c r="N318" t="s">
        <v>1025</v>
      </c>
    </row>
    <row r="319" spans="1:14" x14ac:dyDescent="0.3">
      <c r="A319" t="s">
        <v>331</v>
      </c>
      <c r="B319" t="s">
        <v>1037</v>
      </c>
      <c r="C319" t="s">
        <v>1022</v>
      </c>
      <c r="D319" s="1">
        <v>45820</v>
      </c>
      <c r="E319" s="1">
        <v>45863</v>
      </c>
      <c r="F319" t="s">
        <v>1018</v>
      </c>
      <c r="G319" t="s">
        <v>1017</v>
      </c>
      <c r="H319" t="s">
        <v>1018</v>
      </c>
      <c r="I319" t="s">
        <v>1018</v>
      </c>
      <c r="J319" t="s">
        <v>1019</v>
      </c>
      <c r="K319">
        <v>97489</v>
      </c>
      <c r="L319" t="s">
        <v>1020</v>
      </c>
      <c r="M319">
        <v>62</v>
      </c>
      <c r="N319" t="s">
        <v>1036</v>
      </c>
    </row>
    <row r="320" spans="1:14" x14ac:dyDescent="0.3">
      <c r="A320" t="s">
        <v>332</v>
      </c>
      <c r="B320" t="s">
        <v>1029</v>
      </c>
      <c r="C320" t="s">
        <v>1022</v>
      </c>
      <c r="D320" s="1">
        <v>45841</v>
      </c>
      <c r="E320" s="1">
        <v>45883</v>
      </c>
      <c r="F320" t="s">
        <v>1018</v>
      </c>
      <c r="G320" t="s">
        <v>1017</v>
      </c>
      <c r="H320" t="s">
        <v>1018</v>
      </c>
      <c r="I320" t="s">
        <v>1018</v>
      </c>
      <c r="J320" t="s">
        <v>1019</v>
      </c>
      <c r="K320">
        <v>123417</v>
      </c>
      <c r="L320" t="s">
        <v>1020</v>
      </c>
      <c r="M320">
        <v>68</v>
      </c>
      <c r="N320" t="s">
        <v>1036</v>
      </c>
    </row>
    <row r="321" spans="1:14" x14ac:dyDescent="0.3">
      <c r="A321" t="s">
        <v>333</v>
      </c>
      <c r="B321" t="s">
        <v>1014</v>
      </c>
      <c r="C321" t="s">
        <v>1035</v>
      </c>
      <c r="D321" s="1">
        <v>45956</v>
      </c>
      <c r="E321" s="1">
        <v>45970</v>
      </c>
      <c r="F321" t="s">
        <v>1016</v>
      </c>
      <c r="G321" t="s">
        <v>1017</v>
      </c>
      <c r="H321" t="s">
        <v>1018</v>
      </c>
      <c r="I321" t="s">
        <v>1018</v>
      </c>
      <c r="J321" t="s">
        <v>1019</v>
      </c>
      <c r="K321">
        <v>162502</v>
      </c>
      <c r="L321" t="s">
        <v>1020</v>
      </c>
      <c r="M321">
        <v>43</v>
      </c>
      <c r="N321" t="s">
        <v>1021</v>
      </c>
    </row>
    <row r="322" spans="1:14" x14ac:dyDescent="0.3">
      <c r="A322" t="s">
        <v>334</v>
      </c>
      <c r="B322" t="s">
        <v>1026</v>
      </c>
      <c r="C322" t="s">
        <v>1031</v>
      </c>
      <c r="D322" s="1">
        <v>45803</v>
      </c>
      <c r="E322" s="1">
        <v>45820</v>
      </c>
      <c r="F322" t="s">
        <v>1016</v>
      </c>
      <c r="G322" t="s">
        <v>1023</v>
      </c>
      <c r="H322" t="s">
        <v>1016</v>
      </c>
      <c r="I322" t="s">
        <v>1018</v>
      </c>
      <c r="J322" t="s">
        <v>1027</v>
      </c>
      <c r="K322">
        <v>0</v>
      </c>
      <c r="L322" t="s">
        <v>1028</v>
      </c>
      <c r="M322">
        <v>57</v>
      </c>
      <c r="N322" t="s">
        <v>1036</v>
      </c>
    </row>
    <row r="323" spans="1:14" x14ac:dyDescent="0.3">
      <c r="A323" t="s">
        <v>335</v>
      </c>
      <c r="B323" t="s">
        <v>1032</v>
      </c>
      <c r="C323" t="s">
        <v>1022</v>
      </c>
      <c r="D323" s="1">
        <v>45786</v>
      </c>
      <c r="E323" s="1">
        <v>45803</v>
      </c>
      <c r="F323" t="s">
        <v>1016</v>
      </c>
      <c r="G323" t="s">
        <v>1017</v>
      </c>
      <c r="H323" t="s">
        <v>1018</v>
      </c>
      <c r="I323" t="s">
        <v>1018</v>
      </c>
      <c r="J323" t="s">
        <v>1019</v>
      </c>
      <c r="K323">
        <v>74306</v>
      </c>
      <c r="L323" t="s">
        <v>1024</v>
      </c>
      <c r="M323">
        <v>24</v>
      </c>
      <c r="N323" t="s">
        <v>1036</v>
      </c>
    </row>
    <row r="324" spans="1:14" x14ac:dyDescent="0.3">
      <c r="A324" t="s">
        <v>336</v>
      </c>
      <c r="B324" t="s">
        <v>1029</v>
      </c>
      <c r="C324" t="s">
        <v>1022</v>
      </c>
      <c r="D324" s="1">
        <v>45699</v>
      </c>
      <c r="E324" s="1">
        <v>45723</v>
      </c>
      <c r="F324" t="s">
        <v>1016</v>
      </c>
      <c r="G324" t="s">
        <v>1017</v>
      </c>
      <c r="H324" t="s">
        <v>1018</v>
      </c>
      <c r="I324" t="s">
        <v>1018</v>
      </c>
      <c r="J324" t="s">
        <v>1019</v>
      </c>
      <c r="K324">
        <v>51744</v>
      </c>
      <c r="L324" t="s">
        <v>1020</v>
      </c>
      <c r="M324">
        <v>55</v>
      </c>
      <c r="N324" t="s">
        <v>1036</v>
      </c>
    </row>
    <row r="325" spans="1:14" x14ac:dyDescent="0.3">
      <c r="A325" t="s">
        <v>337</v>
      </c>
      <c r="B325" t="s">
        <v>1026</v>
      </c>
      <c r="C325" t="s">
        <v>1022</v>
      </c>
      <c r="D325" s="1">
        <v>45851</v>
      </c>
      <c r="E325" s="1">
        <v>45894</v>
      </c>
      <c r="F325" t="s">
        <v>1018</v>
      </c>
      <c r="G325" t="s">
        <v>1017</v>
      </c>
      <c r="H325" t="s">
        <v>1018</v>
      </c>
      <c r="I325" t="s">
        <v>1018</v>
      </c>
      <c r="J325" t="s">
        <v>1019</v>
      </c>
      <c r="K325">
        <v>82391</v>
      </c>
      <c r="L325" t="s">
        <v>1020</v>
      </c>
      <c r="M325">
        <v>82</v>
      </c>
      <c r="N325" t="s">
        <v>1025</v>
      </c>
    </row>
    <row r="326" spans="1:14" x14ac:dyDescent="0.3">
      <c r="A326" t="s">
        <v>338</v>
      </c>
      <c r="B326" t="s">
        <v>1014</v>
      </c>
      <c r="C326" t="s">
        <v>1035</v>
      </c>
      <c r="D326" s="1">
        <v>45708</v>
      </c>
      <c r="E326" s="1">
        <v>45738</v>
      </c>
      <c r="F326" t="s">
        <v>1016</v>
      </c>
      <c r="G326" t="s">
        <v>1017</v>
      </c>
      <c r="H326" t="s">
        <v>1018</v>
      </c>
      <c r="I326" t="s">
        <v>1018</v>
      </c>
      <c r="J326" t="s">
        <v>1019</v>
      </c>
      <c r="K326">
        <v>147428</v>
      </c>
      <c r="L326" t="s">
        <v>1020</v>
      </c>
      <c r="M326">
        <v>52</v>
      </c>
      <c r="N326" t="s">
        <v>1036</v>
      </c>
    </row>
    <row r="327" spans="1:14" x14ac:dyDescent="0.3">
      <c r="A327" t="s">
        <v>339</v>
      </c>
      <c r="B327" t="s">
        <v>1032</v>
      </c>
      <c r="C327" t="s">
        <v>1015</v>
      </c>
      <c r="D327" s="1">
        <v>45858</v>
      </c>
      <c r="E327" s="1">
        <v>45859</v>
      </c>
      <c r="F327" t="s">
        <v>1016</v>
      </c>
      <c r="G327" t="s">
        <v>1017</v>
      </c>
      <c r="H327" t="s">
        <v>1018</v>
      </c>
      <c r="I327" t="s">
        <v>1018</v>
      </c>
      <c r="J327" t="s">
        <v>1019</v>
      </c>
      <c r="K327">
        <v>132912</v>
      </c>
      <c r="L327" t="s">
        <v>1020</v>
      </c>
      <c r="M327">
        <v>36</v>
      </c>
      <c r="N327" t="s">
        <v>1021</v>
      </c>
    </row>
    <row r="328" spans="1:14" x14ac:dyDescent="0.3">
      <c r="A328" t="s">
        <v>340</v>
      </c>
      <c r="B328" t="s">
        <v>1026</v>
      </c>
      <c r="C328" t="s">
        <v>1033</v>
      </c>
      <c r="D328" s="1">
        <v>45891</v>
      </c>
      <c r="E328" s="1">
        <v>45917</v>
      </c>
      <c r="F328" t="s">
        <v>1016</v>
      </c>
      <c r="G328" t="s">
        <v>1023</v>
      </c>
      <c r="H328" t="s">
        <v>1016</v>
      </c>
      <c r="I328" t="s">
        <v>1018</v>
      </c>
      <c r="J328" t="s">
        <v>1027</v>
      </c>
      <c r="K328">
        <v>0</v>
      </c>
      <c r="L328" t="s">
        <v>1028</v>
      </c>
      <c r="M328">
        <v>63</v>
      </c>
      <c r="N328" t="s">
        <v>1030</v>
      </c>
    </row>
    <row r="329" spans="1:14" x14ac:dyDescent="0.3">
      <c r="A329" t="s">
        <v>341</v>
      </c>
      <c r="B329" t="s">
        <v>1037</v>
      </c>
      <c r="C329" t="s">
        <v>1035</v>
      </c>
      <c r="D329" s="1">
        <v>46002</v>
      </c>
      <c r="E329" s="1">
        <v>46035</v>
      </c>
      <c r="F329" t="s">
        <v>1018</v>
      </c>
      <c r="G329" t="s">
        <v>1017</v>
      </c>
      <c r="H329" t="s">
        <v>1018</v>
      </c>
      <c r="I329" t="s">
        <v>1018</v>
      </c>
      <c r="J329" t="s">
        <v>1019</v>
      </c>
      <c r="K329">
        <v>39765</v>
      </c>
      <c r="L329" t="s">
        <v>1024</v>
      </c>
      <c r="M329">
        <v>48</v>
      </c>
      <c r="N329" t="s">
        <v>1021</v>
      </c>
    </row>
    <row r="330" spans="1:14" x14ac:dyDescent="0.3">
      <c r="A330" t="s">
        <v>342</v>
      </c>
      <c r="B330" t="s">
        <v>1026</v>
      </c>
      <c r="C330" t="s">
        <v>1033</v>
      </c>
      <c r="D330" s="1">
        <v>45817</v>
      </c>
      <c r="E330" s="1">
        <v>45836</v>
      </c>
      <c r="F330" t="s">
        <v>1016</v>
      </c>
      <c r="G330" t="s">
        <v>1017</v>
      </c>
      <c r="H330" t="s">
        <v>1018</v>
      </c>
      <c r="I330" t="s">
        <v>1018</v>
      </c>
      <c r="J330" t="s">
        <v>1019</v>
      </c>
      <c r="K330">
        <v>118465</v>
      </c>
      <c r="L330" t="s">
        <v>1024</v>
      </c>
      <c r="M330">
        <v>29</v>
      </c>
      <c r="N330" t="s">
        <v>1030</v>
      </c>
    </row>
    <row r="331" spans="1:14" x14ac:dyDescent="0.3">
      <c r="A331" t="s">
        <v>343</v>
      </c>
      <c r="B331" t="s">
        <v>1037</v>
      </c>
      <c r="C331" t="s">
        <v>1033</v>
      </c>
      <c r="D331" s="1">
        <v>45891</v>
      </c>
      <c r="E331" s="1">
        <v>45910</v>
      </c>
      <c r="F331" t="s">
        <v>1016</v>
      </c>
      <c r="G331" t="s">
        <v>1023</v>
      </c>
      <c r="H331" t="s">
        <v>1016</v>
      </c>
      <c r="I331" t="s">
        <v>1018</v>
      </c>
      <c r="J331" t="s">
        <v>1027</v>
      </c>
      <c r="K331">
        <v>0</v>
      </c>
      <c r="L331" t="s">
        <v>1028</v>
      </c>
      <c r="M331">
        <v>56</v>
      </c>
      <c r="N331" t="s">
        <v>1025</v>
      </c>
    </row>
    <row r="332" spans="1:14" x14ac:dyDescent="0.3">
      <c r="A332" t="s">
        <v>344</v>
      </c>
      <c r="B332" t="s">
        <v>1026</v>
      </c>
      <c r="C332" t="s">
        <v>1015</v>
      </c>
      <c r="D332" s="1">
        <v>45998</v>
      </c>
      <c r="E332" s="1">
        <v>46002</v>
      </c>
      <c r="F332" t="s">
        <v>1016</v>
      </c>
      <c r="G332" t="s">
        <v>1017</v>
      </c>
      <c r="H332" t="s">
        <v>1018</v>
      </c>
      <c r="I332" t="s">
        <v>1018</v>
      </c>
      <c r="J332" t="s">
        <v>1019</v>
      </c>
      <c r="K332">
        <v>91844</v>
      </c>
      <c r="L332" t="s">
        <v>1020</v>
      </c>
      <c r="M332">
        <v>39</v>
      </c>
      <c r="N332" t="s">
        <v>1021</v>
      </c>
    </row>
    <row r="333" spans="1:14" x14ac:dyDescent="0.3">
      <c r="A333" t="s">
        <v>345</v>
      </c>
      <c r="B333" t="s">
        <v>1034</v>
      </c>
      <c r="C333" t="s">
        <v>1035</v>
      </c>
      <c r="D333" s="1">
        <v>45817</v>
      </c>
      <c r="E333" s="1">
        <v>45857</v>
      </c>
      <c r="F333" t="s">
        <v>1018</v>
      </c>
      <c r="G333" t="s">
        <v>1027</v>
      </c>
      <c r="H333" t="s">
        <v>1018</v>
      </c>
      <c r="I333" t="s">
        <v>1018</v>
      </c>
      <c r="J333" t="s">
        <v>1027</v>
      </c>
      <c r="K333">
        <v>0</v>
      </c>
      <c r="L333" t="s">
        <v>1028</v>
      </c>
      <c r="M333">
        <v>72</v>
      </c>
      <c r="N333" t="s">
        <v>1025</v>
      </c>
    </row>
    <row r="334" spans="1:14" x14ac:dyDescent="0.3">
      <c r="A334" t="s">
        <v>346</v>
      </c>
      <c r="B334" t="s">
        <v>1014</v>
      </c>
      <c r="C334" t="s">
        <v>1035</v>
      </c>
      <c r="D334" s="1">
        <v>45756</v>
      </c>
      <c r="E334" s="1">
        <v>45781</v>
      </c>
      <c r="F334" t="s">
        <v>1016</v>
      </c>
      <c r="G334" t="s">
        <v>1023</v>
      </c>
      <c r="H334" t="s">
        <v>1016</v>
      </c>
      <c r="I334" t="s">
        <v>1016</v>
      </c>
      <c r="J334" t="s">
        <v>1019</v>
      </c>
      <c r="K334">
        <v>52767</v>
      </c>
      <c r="L334" t="s">
        <v>1020</v>
      </c>
      <c r="M334">
        <v>62</v>
      </c>
      <c r="N334" t="s">
        <v>1021</v>
      </c>
    </row>
    <row r="335" spans="1:14" x14ac:dyDescent="0.3">
      <c r="A335" t="s">
        <v>347</v>
      </c>
      <c r="B335" t="s">
        <v>1014</v>
      </c>
      <c r="C335" t="s">
        <v>1015</v>
      </c>
      <c r="D335" s="1">
        <v>45744</v>
      </c>
      <c r="E335" s="1">
        <v>45764</v>
      </c>
      <c r="F335" t="s">
        <v>1016</v>
      </c>
      <c r="G335" t="s">
        <v>1027</v>
      </c>
      <c r="H335" t="s">
        <v>1018</v>
      </c>
      <c r="I335" t="s">
        <v>1018</v>
      </c>
      <c r="J335" t="s">
        <v>1027</v>
      </c>
      <c r="K335">
        <v>0</v>
      </c>
      <c r="L335" t="s">
        <v>1028</v>
      </c>
      <c r="M335">
        <v>43</v>
      </c>
      <c r="N335" t="s">
        <v>1036</v>
      </c>
    </row>
    <row r="336" spans="1:14" x14ac:dyDescent="0.3">
      <c r="A336" t="s">
        <v>348</v>
      </c>
      <c r="B336" t="s">
        <v>1029</v>
      </c>
      <c r="C336" t="s">
        <v>1035</v>
      </c>
      <c r="D336" s="1">
        <v>45740</v>
      </c>
      <c r="E336" s="1">
        <v>45772</v>
      </c>
      <c r="F336" t="s">
        <v>1018</v>
      </c>
      <c r="G336" t="s">
        <v>1017</v>
      </c>
      <c r="H336" t="s">
        <v>1018</v>
      </c>
      <c r="I336" t="s">
        <v>1018</v>
      </c>
      <c r="J336" t="s">
        <v>1019</v>
      </c>
      <c r="K336">
        <v>150941</v>
      </c>
      <c r="L336" t="s">
        <v>1020</v>
      </c>
      <c r="M336">
        <v>43</v>
      </c>
      <c r="N336" t="s">
        <v>1025</v>
      </c>
    </row>
    <row r="337" spans="1:14" x14ac:dyDescent="0.3">
      <c r="A337" t="s">
        <v>349</v>
      </c>
      <c r="B337" t="s">
        <v>1029</v>
      </c>
      <c r="C337" t="s">
        <v>1031</v>
      </c>
      <c r="D337" s="1">
        <v>45938</v>
      </c>
      <c r="E337" s="1">
        <v>45954</v>
      </c>
      <c r="F337" t="s">
        <v>1016</v>
      </c>
      <c r="G337" t="s">
        <v>1027</v>
      </c>
      <c r="H337" t="s">
        <v>1018</v>
      </c>
      <c r="I337" t="s">
        <v>1018</v>
      </c>
      <c r="J337" t="s">
        <v>1027</v>
      </c>
      <c r="K337">
        <v>0</v>
      </c>
      <c r="L337" t="s">
        <v>1028</v>
      </c>
      <c r="M337">
        <v>32</v>
      </c>
      <c r="N337" t="s">
        <v>1021</v>
      </c>
    </row>
    <row r="338" spans="1:14" x14ac:dyDescent="0.3">
      <c r="A338" t="s">
        <v>350</v>
      </c>
      <c r="B338" t="s">
        <v>1037</v>
      </c>
      <c r="C338" t="s">
        <v>1035</v>
      </c>
      <c r="D338" s="1">
        <v>45846</v>
      </c>
      <c r="E338" s="1">
        <v>45848</v>
      </c>
      <c r="F338" t="s">
        <v>1016</v>
      </c>
      <c r="G338" t="s">
        <v>1027</v>
      </c>
      <c r="H338" t="s">
        <v>1018</v>
      </c>
      <c r="I338" t="s">
        <v>1018</v>
      </c>
      <c r="J338" t="s">
        <v>1027</v>
      </c>
      <c r="K338">
        <v>0</v>
      </c>
      <c r="L338" t="s">
        <v>1028</v>
      </c>
      <c r="M338">
        <v>39</v>
      </c>
      <c r="N338" t="s">
        <v>1030</v>
      </c>
    </row>
    <row r="339" spans="1:14" x14ac:dyDescent="0.3">
      <c r="A339" t="s">
        <v>351</v>
      </c>
      <c r="B339" t="s">
        <v>1014</v>
      </c>
      <c r="C339" t="s">
        <v>1031</v>
      </c>
      <c r="D339" s="1">
        <v>45751</v>
      </c>
      <c r="E339" s="1">
        <v>45758</v>
      </c>
      <c r="F339" t="s">
        <v>1016</v>
      </c>
      <c r="G339" t="s">
        <v>1023</v>
      </c>
      <c r="H339" t="s">
        <v>1016</v>
      </c>
      <c r="I339" t="s">
        <v>1018</v>
      </c>
      <c r="J339" t="s">
        <v>1027</v>
      </c>
      <c r="K339">
        <v>0</v>
      </c>
      <c r="L339" t="s">
        <v>1028</v>
      </c>
      <c r="M339">
        <v>20</v>
      </c>
      <c r="N339" t="s">
        <v>1025</v>
      </c>
    </row>
    <row r="340" spans="1:14" x14ac:dyDescent="0.3">
      <c r="A340" t="s">
        <v>352</v>
      </c>
      <c r="B340" t="s">
        <v>1034</v>
      </c>
      <c r="C340" t="s">
        <v>1033</v>
      </c>
      <c r="D340" s="1">
        <v>45683</v>
      </c>
      <c r="E340" s="1">
        <v>45715</v>
      </c>
      <c r="F340" t="s">
        <v>1018</v>
      </c>
      <c r="G340" t="s">
        <v>1023</v>
      </c>
      <c r="H340" t="s">
        <v>1016</v>
      </c>
      <c r="I340" t="s">
        <v>1016</v>
      </c>
      <c r="J340" t="s">
        <v>1019</v>
      </c>
      <c r="K340">
        <v>155871</v>
      </c>
      <c r="L340" t="s">
        <v>1020</v>
      </c>
      <c r="M340">
        <v>64</v>
      </c>
      <c r="N340" t="s">
        <v>1030</v>
      </c>
    </row>
    <row r="341" spans="1:14" x14ac:dyDescent="0.3">
      <c r="A341" t="s">
        <v>353</v>
      </c>
      <c r="B341" t="s">
        <v>1014</v>
      </c>
      <c r="C341" t="s">
        <v>1035</v>
      </c>
      <c r="D341" s="1">
        <v>45998</v>
      </c>
      <c r="E341" s="1">
        <v>46002</v>
      </c>
      <c r="F341" t="s">
        <v>1016</v>
      </c>
      <c r="G341" t="s">
        <v>1027</v>
      </c>
      <c r="H341" t="s">
        <v>1018</v>
      </c>
      <c r="I341" t="s">
        <v>1018</v>
      </c>
      <c r="J341" t="s">
        <v>1027</v>
      </c>
      <c r="K341">
        <v>0</v>
      </c>
      <c r="L341" t="s">
        <v>1028</v>
      </c>
      <c r="M341">
        <v>22</v>
      </c>
      <c r="N341" t="s">
        <v>1036</v>
      </c>
    </row>
    <row r="342" spans="1:14" x14ac:dyDescent="0.3">
      <c r="A342" t="s">
        <v>354</v>
      </c>
      <c r="B342" t="s">
        <v>1026</v>
      </c>
      <c r="C342" t="s">
        <v>1015</v>
      </c>
      <c r="D342" s="1">
        <v>45693</v>
      </c>
      <c r="E342" s="1">
        <v>45727</v>
      </c>
      <c r="F342" t="s">
        <v>1018</v>
      </c>
      <c r="G342" t="s">
        <v>1023</v>
      </c>
      <c r="H342" t="s">
        <v>1016</v>
      </c>
      <c r="I342" t="s">
        <v>1018</v>
      </c>
      <c r="J342" t="s">
        <v>1027</v>
      </c>
      <c r="K342">
        <v>0</v>
      </c>
      <c r="L342" t="s">
        <v>1028</v>
      </c>
      <c r="M342">
        <v>72</v>
      </c>
      <c r="N342" t="s">
        <v>1025</v>
      </c>
    </row>
    <row r="343" spans="1:14" x14ac:dyDescent="0.3">
      <c r="A343" t="s">
        <v>355</v>
      </c>
      <c r="B343" t="s">
        <v>1029</v>
      </c>
      <c r="C343" t="s">
        <v>1033</v>
      </c>
      <c r="D343" s="1">
        <v>45979</v>
      </c>
      <c r="E343" s="1">
        <v>46019</v>
      </c>
      <c r="F343" t="s">
        <v>1018</v>
      </c>
      <c r="G343" t="s">
        <v>1017</v>
      </c>
      <c r="H343" t="s">
        <v>1018</v>
      </c>
      <c r="I343" t="s">
        <v>1018</v>
      </c>
      <c r="J343" t="s">
        <v>1019</v>
      </c>
      <c r="K343">
        <v>95531</v>
      </c>
      <c r="L343" t="s">
        <v>1024</v>
      </c>
      <c r="M343">
        <v>68</v>
      </c>
      <c r="N343" t="s">
        <v>1030</v>
      </c>
    </row>
    <row r="344" spans="1:14" x14ac:dyDescent="0.3">
      <c r="A344" t="s">
        <v>356</v>
      </c>
      <c r="B344" t="s">
        <v>1026</v>
      </c>
      <c r="C344" t="s">
        <v>1035</v>
      </c>
      <c r="D344" s="1">
        <v>45716</v>
      </c>
      <c r="E344" s="1">
        <v>45753</v>
      </c>
      <c r="F344" t="s">
        <v>1018</v>
      </c>
      <c r="G344" t="s">
        <v>1027</v>
      </c>
      <c r="H344" t="s">
        <v>1018</v>
      </c>
      <c r="I344" t="s">
        <v>1018</v>
      </c>
      <c r="J344" t="s">
        <v>1027</v>
      </c>
      <c r="K344">
        <v>0</v>
      </c>
      <c r="L344" t="s">
        <v>1028</v>
      </c>
      <c r="M344">
        <v>59</v>
      </c>
      <c r="N344" t="s">
        <v>1036</v>
      </c>
    </row>
    <row r="345" spans="1:14" x14ac:dyDescent="0.3">
      <c r="A345" t="s">
        <v>357</v>
      </c>
      <c r="B345" t="s">
        <v>1034</v>
      </c>
      <c r="C345" t="s">
        <v>1022</v>
      </c>
      <c r="D345" s="1">
        <v>45994</v>
      </c>
      <c r="E345" s="1">
        <v>46016</v>
      </c>
      <c r="F345" t="s">
        <v>1016</v>
      </c>
      <c r="G345" t="s">
        <v>1017</v>
      </c>
      <c r="H345" t="s">
        <v>1018</v>
      </c>
      <c r="I345" t="s">
        <v>1018</v>
      </c>
      <c r="J345" t="s">
        <v>1019</v>
      </c>
      <c r="K345">
        <v>61153</v>
      </c>
      <c r="L345" t="s">
        <v>1020</v>
      </c>
      <c r="M345">
        <v>28</v>
      </c>
      <c r="N345" t="s">
        <v>1036</v>
      </c>
    </row>
    <row r="346" spans="1:14" x14ac:dyDescent="0.3">
      <c r="A346" t="s">
        <v>358</v>
      </c>
      <c r="B346" t="s">
        <v>1029</v>
      </c>
      <c r="C346" t="s">
        <v>1015</v>
      </c>
      <c r="D346" s="1">
        <v>45788</v>
      </c>
      <c r="E346" s="1">
        <v>45789</v>
      </c>
      <c r="F346" t="s">
        <v>1016</v>
      </c>
      <c r="G346" t="s">
        <v>1027</v>
      </c>
      <c r="H346" t="s">
        <v>1018</v>
      </c>
      <c r="I346" t="s">
        <v>1018</v>
      </c>
      <c r="J346" t="s">
        <v>1027</v>
      </c>
      <c r="K346">
        <v>0</v>
      </c>
      <c r="L346" t="s">
        <v>1028</v>
      </c>
      <c r="M346">
        <v>23</v>
      </c>
      <c r="N346" t="s">
        <v>1025</v>
      </c>
    </row>
    <row r="347" spans="1:14" x14ac:dyDescent="0.3">
      <c r="A347" t="s">
        <v>359</v>
      </c>
      <c r="B347" t="s">
        <v>1034</v>
      </c>
      <c r="C347" t="s">
        <v>1015</v>
      </c>
      <c r="D347" s="1">
        <v>45735</v>
      </c>
      <c r="E347" s="1">
        <v>45766</v>
      </c>
      <c r="F347" t="s">
        <v>1018</v>
      </c>
      <c r="G347" t="s">
        <v>1027</v>
      </c>
      <c r="H347" t="s">
        <v>1018</v>
      </c>
      <c r="I347" t="s">
        <v>1018</v>
      </c>
      <c r="J347" t="s">
        <v>1027</v>
      </c>
      <c r="K347">
        <v>0</v>
      </c>
      <c r="L347" t="s">
        <v>1028</v>
      </c>
      <c r="M347">
        <v>55</v>
      </c>
      <c r="N347" t="s">
        <v>1021</v>
      </c>
    </row>
    <row r="348" spans="1:14" x14ac:dyDescent="0.3">
      <c r="A348" t="s">
        <v>360</v>
      </c>
      <c r="B348" t="s">
        <v>1014</v>
      </c>
      <c r="C348" t="s">
        <v>1031</v>
      </c>
      <c r="D348" s="1">
        <v>45912</v>
      </c>
      <c r="E348" s="1">
        <v>45945</v>
      </c>
      <c r="F348" t="s">
        <v>1018</v>
      </c>
      <c r="G348" t="s">
        <v>1023</v>
      </c>
      <c r="H348" t="s">
        <v>1016</v>
      </c>
      <c r="I348" t="s">
        <v>1018</v>
      </c>
      <c r="J348" t="s">
        <v>1027</v>
      </c>
      <c r="K348">
        <v>0</v>
      </c>
      <c r="L348" t="s">
        <v>1028</v>
      </c>
      <c r="M348">
        <v>71</v>
      </c>
      <c r="N348" t="s">
        <v>1025</v>
      </c>
    </row>
    <row r="349" spans="1:14" x14ac:dyDescent="0.3">
      <c r="A349" t="s">
        <v>361</v>
      </c>
      <c r="B349" t="s">
        <v>1032</v>
      </c>
      <c r="C349" t="s">
        <v>1022</v>
      </c>
      <c r="D349" s="1">
        <v>45798</v>
      </c>
      <c r="E349" s="1">
        <v>45825</v>
      </c>
      <c r="F349" t="s">
        <v>1016</v>
      </c>
      <c r="G349" t="s">
        <v>1023</v>
      </c>
      <c r="H349" t="s">
        <v>1016</v>
      </c>
      <c r="I349" t="s">
        <v>1016</v>
      </c>
      <c r="J349" t="s">
        <v>1019</v>
      </c>
      <c r="K349">
        <v>177685</v>
      </c>
      <c r="L349" t="s">
        <v>1020</v>
      </c>
      <c r="M349">
        <v>41</v>
      </c>
      <c r="N349" t="s">
        <v>1021</v>
      </c>
    </row>
    <row r="350" spans="1:14" x14ac:dyDescent="0.3">
      <c r="A350" t="s">
        <v>362</v>
      </c>
      <c r="B350" t="s">
        <v>1032</v>
      </c>
      <c r="C350" t="s">
        <v>1015</v>
      </c>
      <c r="D350" s="1">
        <v>45664</v>
      </c>
      <c r="E350" s="1">
        <v>45700</v>
      </c>
      <c r="F350" t="s">
        <v>1018</v>
      </c>
      <c r="G350" t="s">
        <v>1023</v>
      </c>
      <c r="H350" t="s">
        <v>1016</v>
      </c>
      <c r="I350" t="s">
        <v>1016</v>
      </c>
      <c r="J350" t="s">
        <v>1019</v>
      </c>
      <c r="K350">
        <v>38608</v>
      </c>
      <c r="L350" t="s">
        <v>1024</v>
      </c>
      <c r="M350">
        <v>56</v>
      </c>
      <c r="N350" t="s">
        <v>1030</v>
      </c>
    </row>
    <row r="351" spans="1:14" x14ac:dyDescent="0.3">
      <c r="A351" t="s">
        <v>363</v>
      </c>
      <c r="B351" t="s">
        <v>1034</v>
      </c>
      <c r="C351" t="s">
        <v>1015</v>
      </c>
      <c r="D351" s="1">
        <v>45829</v>
      </c>
      <c r="E351" s="1">
        <v>45841</v>
      </c>
      <c r="F351" t="s">
        <v>1016</v>
      </c>
      <c r="G351" t="s">
        <v>1027</v>
      </c>
      <c r="H351" t="s">
        <v>1018</v>
      </c>
      <c r="I351" t="s">
        <v>1018</v>
      </c>
      <c r="J351" t="s">
        <v>1027</v>
      </c>
      <c r="K351">
        <v>0</v>
      </c>
      <c r="L351" t="s">
        <v>1028</v>
      </c>
      <c r="M351">
        <v>27</v>
      </c>
      <c r="N351" t="s">
        <v>1030</v>
      </c>
    </row>
    <row r="352" spans="1:14" x14ac:dyDescent="0.3">
      <c r="A352" t="s">
        <v>364</v>
      </c>
      <c r="B352" t="s">
        <v>1029</v>
      </c>
      <c r="C352" t="s">
        <v>1035</v>
      </c>
      <c r="D352" s="1">
        <v>45797</v>
      </c>
      <c r="E352" s="1">
        <v>45828</v>
      </c>
      <c r="F352" t="s">
        <v>1018</v>
      </c>
      <c r="G352" t="s">
        <v>1017</v>
      </c>
      <c r="H352" t="s">
        <v>1018</v>
      </c>
      <c r="I352" t="s">
        <v>1018</v>
      </c>
      <c r="J352" t="s">
        <v>1019</v>
      </c>
      <c r="K352">
        <v>49558</v>
      </c>
      <c r="L352" t="s">
        <v>1024</v>
      </c>
      <c r="M352">
        <v>58</v>
      </c>
      <c r="N352" t="s">
        <v>1030</v>
      </c>
    </row>
    <row r="353" spans="1:14" x14ac:dyDescent="0.3">
      <c r="A353" t="s">
        <v>365</v>
      </c>
      <c r="B353" t="s">
        <v>1029</v>
      </c>
      <c r="C353" t="s">
        <v>1035</v>
      </c>
      <c r="D353" s="1">
        <v>45705</v>
      </c>
      <c r="E353" s="1">
        <v>45733</v>
      </c>
      <c r="F353" t="s">
        <v>1016</v>
      </c>
      <c r="G353" t="s">
        <v>1027</v>
      </c>
      <c r="H353" t="s">
        <v>1018</v>
      </c>
      <c r="I353" t="s">
        <v>1018</v>
      </c>
      <c r="J353" t="s">
        <v>1027</v>
      </c>
      <c r="K353">
        <v>0</v>
      </c>
      <c r="L353" t="s">
        <v>1028</v>
      </c>
      <c r="M353">
        <v>61</v>
      </c>
      <c r="N353" t="s">
        <v>1021</v>
      </c>
    </row>
    <row r="354" spans="1:14" x14ac:dyDescent="0.3">
      <c r="A354" t="s">
        <v>366</v>
      </c>
      <c r="B354" t="s">
        <v>1034</v>
      </c>
      <c r="C354" t="s">
        <v>1035</v>
      </c>
      <c r="D354" s="1">
        <v>45996</v>
      </c>
      <c r="E354" s="1">
        <v>46021</v>
      </c>
      <c r="F354" t="s">
        <v>1016</v>
      </c>
      <c r="G354" t="s">
        <v>1017</v>
      </c>
      <c r="H354" t="s">
        <v>1018</v>
      </c>
      <c r="I354" t="s">
        <v>1018</v>
      </c>
      <c r="J354" t="s">
        <v>1019</v>
      </c>
      <c r="K354">
        <v>170555</v>
      </c>
      <c r="L354" t="s">
        <v>1024</v>
      </c>
      <c r="M354">
        <v>56</v>
      </c>
      <c r="N354" t="s">
        <v>1021</v>
      </c>
    </row>
    <row r="355" spans="1:14" x14ac:dyDescent="0.3">
      <c r="A355" t="s">
        <v>367</v>
      </c>
      <c r="B355" t="s">
        <v>1029</v>
      </c>
      <c r="C355" t="s">
        <v>1035</v>
      </c>
      <c r="D355" s="1">
        <v>45673</v>
      </c>
      <c r="E355" s="1">
        <v>45690</v>
      </c>
      <c r="F355" t="s">
        <v>1016</v>
      </c>
      <c r="G355" t="s">
        <v>1017</v>
      </c>
      <c r="H355" t="s">
        <v>1018</v>
      </c>
      <c r="I355" t="s">
        <v>1018</v>
      </c>
      <c r="J355" t="s">
        <v>1019</v>
      </c>
      <c r="K355">
        <v>195915</v>
      </c>
      <c r="L355" t="s">
        <v>1020</v>
      </c>
      <c r="M355">
        <v>44</v>
      </c>
      <c r="N355" t="s">
        <v>1030</v>
      </c>
    </row>
    <row r="356" spans="1:14" x14ac:dyDescent="0.3">
      <c r="A356" t="s">
        <v>368</v>
      </c>
      <c r="B356" t="s">
        <v>1034</v>
      </c>
      <c r="C356" t="s">
        <v>1031</v>
      </c>
      <c r="D356" s="1">
        <v>45846</v>
      </c>
      <c r="E356" s="1">
        <v>45852</v>
      </c>
      <c r="F356" t="s">
        <v>1016</v>
      </c>
      <c r="G356" t="s">
        <v>1023</v>
      </c>
      <c r="H356" t="s">
        <v>1016</v>
      </c>
      <c r="I356" t="s">
        <v>1018</v>
      </c>
      <c r="J356" t="s">
        <v>1027</v>
      </c>
      <c r="K356">
        <v>0</v>
      </c>
      <c r="L356" t="s">
        <v>1028</v>
      </c>
      <c r="M356">
        <v>45</v>
      </c>
      <c r="N356" t="s">
        <v>1030</v>
      </c>
    </row>
    <row r="357" spans="1:14" x14ac:dyDescent="0.3">
      <c r="A357" t="s">
        <v>369</v>
      </c>
      <c r="B357" t="s">
        <v>1026</v>
      </c>
      <c r="C357" t="s">
        <v>1031</v>
      </c>
      <c r="D357" s="1">
        <v>45683</v>
      </c>
      <c r="E357" s="1">
        <v>45708</v>
      </c>
      <c r="F357" t="s">
        <v>1016</v>
      </c>
      <c r="G357" t="s">
        <v>1027</v>
      </c>
      <c r="H357" t="s">
        <v>1018</v>
      </c>
      <c r="I357" t="s">
        <v>1018</v>
      </c>
      <c r="J357" t="s">
        <v>1027</v>
      </c>
      <c r="K357">
        <v>0</v>
      </c>
      <c r="L357" t="s">
        <v>1028</v>
      </c>
      <c r="M357">
        <v>37</v>
      </c>
      <c r="N357" t="s">
        <v>1025</v>
      </c>
    </row>
    <row r="358" spans="1:14" x14ac:dyDescent="0.3">
      <c r="A358" t="s">
        <v>370</v>
      </c>
      <c r="B358" t="s">
        <v>1026</v>
      </c>
      <c r="C358" t="s">
        <v>1035</v>
      </c>
      <c r="D358" s="1">
        <v>45950</v>
      </c>
      <c r="E358" s="1">
        <v>45979</v>
      </c>
      <c r="F358" t="s">
        <v>1016</v>
      </c>
      <c r="G358" t="s">
        <v>1023</v>
      </c>
      <c r="H358" t="s">
        <v>1016</v>
      </c>
      <c r="I358" t="s">
        <v>1016</v>
      </c>
      <c r="J358" t="s">
        <v>1019</v>
      </c>
      <c r="K358">
        <v>45658</v>
      </c>
      <c r="L358" t="s">
        <v>1020</v>
      </c>
      <c r="M358">
        <v>69</v>
      </c>
      <c r="N358" t="s">
        <v>1030</v>
      </c>
    </row>
    <row r="359" spans="1:14" x14ac:dyDescent="0.3">
      <c r="A359" t="s">
        <v>371</v>
      </c>
      <c r="B359" t="s">
        <v>1032</v>
      </c>
      <c r="C359" t="s">
        <v>1033</v>
      </c>
      <c r="D359" s="1">
        <v>45774</v>
      </c>
      <c r="E359" s="1">
        <v>45802</v>
      </c>
      <c r="F359" t="s">
        <v>1016</v>
      </c>
      <c r="G359" t="s">
        <v>1023</v>
      </c>
      <c r="H359" t="s">
        <v>1016</v>
      </c>
      <c r="I359" t="s">
        <v>1018</v>
      </c>
      <c r="J359" t="s">
        <v>1027</v>
      </c>
      <c r="K359">
        <v>0</v>
      </c>
      <c r="L359" t="s">
        <v>1028</v>
      </c>
      <c r="M359">
        <v>65</v>
      </c>
      <c r="N359" t="s">
        <v>1030</v>
      </c>
    </row>
    <row r="360" spans="1:14" x14ac:dyDescent="0.3">
      <c r="A360" t="s">
        <v>372</v>
      </c>
      <c r="B360" t="s">
        <v>1029</v>
      </c>
      <c r="C360" t="s">
        <v>1015</v>
      </c>
      <c r="D360" s="1">
        <v>45833</v>
      </c>
      <c r="E360" s="1">
        <v>45878</v>
      </c>
      <c r="F360" t="s">
        <v>1018</v>
      </c>
      <c r="G360" t="s">
        <v>1023</v>
      </c>
      <c r="H360" t="s">
        <v>1016</v>
      </c>
      <c r="I360" t="s">
        <v>1016</v>
      </c>
      <c r="J360" t="s">
        <v>1019</v>
      </c>
      <c r="K360">
        <v>67560</v>
      </c>
      <c r="L360" t="s">
        <v>1020</v>
      </c>
      <c r="M360">
        <v>80</v>
      </c>
      <c r="N360" t="s">
        <v>1036</v>
      </c>
    </row>
    <row r="361" spans="1:14" x14ac:dyDescent="0.3">
      <c r="A361" t="s">
        <v>373</v>
      </c>
      <c r="B361" t="s">
        <v>1026</v>
      </c>
      <c r="C361" t="s">
        <v>1022</v>
      </c>
      <c r="D361" s="1">
        <v>45727</v>
      </c>
      <c r="E361" s="1">
        <v>45757</v>
      </c>
      <c r="F361" t="s">
        <v>1016</v>
      </c>
      <c r="G361" t="s">
        <v>1027</v>
      </c>
      <c r="H361" t="s">
        <v>1018</v>
      </c>
      <c r="I361" t="s">
        <v>1018</v>
      </c>
      <c r="J361" t="s">
        <v>1027</v>
      </c>
      <c r="K361">
        <v>0</v>
      </c>
      <c r="L361" t="s">
        <v>1028</v>
      </c>
      <c r="M361">
        <v>68</v>
      </c>
      <c r="N361" t="s">
        <v>1030</v>
      </c>
    </row>
    <row r="362" spans="1:14" x14ac:dyDescent="0.3">
      <c r="A362" t="s">
        <v>374</v>
      </c>
      <c r="B362" t="s">
        <v>1029</v>
      </c>
      <c r="C362" t="s">
        <v>1015</v>
      </c>
      <c r="D362" s="1">
        <v>45851</v>
      </c>
      <c r="E362" s="1">
        <v>45861</v>
      </c>
      <c r="F362" t="s">
        <v>1016</v>
      </c>
      <c r="G362" t="s">
        <v>1023</v>
      </c>
      <c r="H362" t="s">
        <v>1016</v>
      </c>
      <c r="I362" t="s">
        <v>1016</v>
      </c>
      <c r="J362" t="s">
        <v>1019</v>
      </c>
      <c r="K362">
        <v>143439</v>
      </c>
      <c r="L362" t="s">
        <v>1020</v>
      </c>
      <c r="M362">
        <v>40</v>
      </c>
      <c r="N362" t="s">
        <v>1030</v>
      </c>
    </row>
    <row r="363" spans="1:14" x14ac:dyDescent="0.3">
      <c r="A363" t="s">
        <v>375</v>
      </c>
      <c r="B363" t="s">
        <v>1032</v>
      </c>
      <c r="C363" t="s">
        <v>1035</v>
      </c>
      <c r="D363" s="1">
        <v>45676</v>
      </c>
      <c r="E363" s="1">
        <v>45715</v>
      </c>
      <c r="F363" t="s">
        <v>1018</v>
      </c>
      <c r="G363" t="s">
        <v>1017</v>
      </c>
      <c r="H363" t="s">
        <v>1018</v>
      </c>
      <c r="I363" t="s">
        <v>1018</v>
      </c>
      <c r="J363" t="s">
        <v>1019</v>
      </c>
      <c r="K363">
        <v>43926</v>
      </c>
      <c r="L363" t="s">
        <v>1020</v>
      </c>
      <c r="M363">
        <v>56</v>
      </c>
      <c r="N363" t="s">
        <v>1030</v>
      </c>
    </row>
    <row r="364" spans="1:14" x14ac:dyDescent="0.3">
      <c r="A364" t="s">
        <v>376</v>
      </c>
      <c r="B364" t="s">
        <v>1014</v>
      </c>
      <c r="C364" t="s">
        <v>1035</v>
      </c>
      <c r="D364" s="1">
        <v>45695</v>
      </c>
      <c r="E364" s="1">
        <v>45716</v>
      </c>
      <c r="F364" t="s">
        <v>1016</v>
      </c>
      <c r="G364" t="s">
        <v>1023</v>
      </c>
      <c r="H364" t="s">
        <v>1016</v>
      </c>
      <c r="I364" t="s">
        <v>1016</v>
      </c>
      <c r="J364" t="s">
        <v>1019</v>
      </c>
      <c r="K364">
        <v>180726</v>
      </c>
      <c r="L364" t="s">
        <v>1020</v>
      </c>
      <c r="M364">
        <v>49</v>
      </c>
      <c r="N364" t="s">
        <v>1025</v>
      </c>
    </row>
    <row r="365" spans="1:14" x14ac:dyDescent="0.3">
      <c r="A365" t="s">
        <v>377</v>
      </c>
      <c r="B365" t="s">
        <v>1037</v>
      </c>
      <c r="C365" t="s">
        <v>1015</v>
      </c>
      <c r="D365" s="1">
        <v>45846</v>
      </c>
      <c r="E365" s="1">
        <v>45861</v>
      </c>
      <c r="F365" t="s">
        <v>1016</v>
      </c>
      <c r="G365" t="s">
        <v>1017</v>
      </c>
      <c r="H365" t="s">
        <v>1018</v>
      </c>
      <c r="I365" t="s">
        <v>1018</v>
      </c>
      <c r="J365" t="s">
        <v>1019</v>
      </c>
      <c r="K365">
        <v>39047</v>
      </c>
      <c r="L365" t="s">
        <v>1020</v>
      </c>
      <c r="M365">
        <v>37</v>
      </c>
      <c r="N365" t="s">
        <v>1021</v>
      </c>
    </row>
    <row r="366" spans="1:14" x14ac:dyDescent="0.3">
      <c r="A366" t="s">
        <v>378</v>
      </c>
      <c r="B366" t="s">
        <v>1014</v>
      </c>
      <c r="C366" t="s">
        <v>1015</v>
      </c>
      <c r="D366" s="1">
        <v>45953</v>
      </c>
      <c r="E366" s="1">
        <v>45983</v>
      </c>
      <c r="F366" t="s">
        <v>1016</v>
      </c>
      <c r="G366" t="s">
        <v>1027</v>
      </c>
      <c r="H366" t="s">
        <v>1018</v>
      </c>
      <c r="I366" t="s">
        <v>1018</v>
      </c>
      <c r="J366" t="s">
        <v>1027</v>
      </c>
      <c r="K366">
        <v>0</v>
      </c>
      <c r="L366" t="s">
        <v>1028</v>
      </c>
      <c r="M366">
        <v>65</v>
      </c>
      <c r="N366" t="s">
        <v>1021</v>
      </c>
    </row>
    <row r="367" spans="1:14" x14ac:dyDescent="0.3">
      <c r="A367" t="s">
        <v>379</v>
      </c>
      <c r="B367" t="s">
        <v>1032</v>
      </c>
      <c r="C367" t="s">
        <v>1033</v>
      </c>
      <c r="D367" s="1">
        <v>45741</v>
      </c>
      <c r="E367" s="1">
        <v>45782</v>
      </c>
      <c r="F367" t="s">
        <v>1018</v>
      </c>
      <c r="G367" t="s">
        <v>1023</v>
      </c>
      <c r="H367" t="s">
        <v>1016</v>
      </c>
      <c r="I367" t="s">
        <v>1016</v>
      </c>
      <c r="J367" t="s">
        <v>1019</v>
      </c>
      <c r="K367">
        <v>139941</v>
      </c>
      <c r="L367" t="s">
        <v>1020</v>
      </c>
      <c r="M367">
        <v>49</v>
      </c>
      <c r="N367" t="s">
        <v>1036</v>
      </c>
    </row>
    <row r="368" spans="1:14" x14ac:dyDescent="0.3">
      <c r="A368" t="s">
        <v>380</v>
      </c>
      <c r="B368" t="s">
        <v>1029</v>
      </c>
      <c r="C368" t="s">
        <v>1035</v>
      </c>
      <c r="D368" s="1">
        <v>45766</v>
      </c>
      <c r="E368" s="1">
        <v>45772</v>
      </c>
      <c r="F368" t="s">
        <v>1016</v>
      </c>
      <c r="G368" t="s">
        <v>1027</v>
      </c>
      <c r="H368" t="s">
        <v>1018</v>
      </c>
      <c r="I368" t="s">
        <v>1018</v>
      </c>
      <c r="J368" t="s">
        <v>1027</v>
      </c>
      <c r="K368">
        <v>0</v>
      </c>
      <c r="L368" t="s">
        <v>1028</v>
      </c>
      <c r="M368">
        <v>13</v>
      </c>
      <c r="N368" t="s">
        <v>1025</v>
      </c>
    </row>
    <row r="369" spans="1:14" x14ac:dyDescent="0.3">
      <c r="A369" t="s">
        <v>381</v>
      </c>
      <c r="B369" t="s">
        <v>1026</v>
      </c>
      <c r="C369" t="s">
        <v>1015</v>
      </c>
      <c r="D369" s="1">
        <v>45668</v>
      </c>
      <c r="E369" s="1">
        <v>45681</v>
      </c>
      <c r="F369" t="s">
        <v>1016</v>
      </c>
      <c r="G369" t="s">
        <v>1023</v>
      </c>
      <c r="H369" t="s">
        <v>1016</v>
      </c>
      <c r="I369" t="s">
        <v>1018</v>
      </c>
      <c r="J369" t="s">
        <v>1027</v>
      </c>
      <c r="K369">
        <v>0</v>
      </c>
      <c r="L369" t="s">
        <v>1028</v>
      </c>
      <c r="M369">
        <v>39</v>
      </c>
      <c r="N369" t="s">
        <v>1025</v>
      </c>
    </row>
    <row r="370" spans="1:14" x14ac:dyDescent="0.3">
      <c r="A370" t="s">
        <v>382</v>
      </c>
      <c r="B370" t="s">
        <v>1034</v>
      </c>
      <c r="C370" t="s">
        <v>1022</v>
      </c>
      <c r="D370" s="1">
        <v>45966</v>
      </c>
      <c r="E370" s="1">
        <v>45993</v>
      </c>
      <c r="F370" t="s">
        <v>1016</v>
      </c>
      <c r="G370" t="s">
        <v>1023</v>
      </c>
      <c r="H370" t="s">
        <v>1016</v>
      </c>
      <c r="I370" t="s">
        <v>1016</v>
      </c>
      <c r="J370" t="s">
        <v>1019</v>
      </c>
      <c r="K370">
        <v>181067</v>
      </c>
      <c r="L370" t="s">
        <v>1020</v>
      </c>
      <c r="M370">
        <v>34</v>
      </c>
      <c r="N370" t="s">
        <v>1021</v>
      </c>
    </row>
    <row r="371" spans="1:14" x14ac:dyDescent="0.3">
      <c r="A371" t="s">
        <v>383</v>
      </c>
      <c r="B371" t="s">
        <v>1032</v>
      </c>
      <c r="C371" t="s">
        <v>1035</v>
      </c>
      <c r="D371" s="1">
        <v>46010</v>
      </c>
      <c r="E371" s="1">
        <v>46024</v>
      </c>
      <c r="F371" t="s">
        <v>1016</v>
      </c>
      <c r="G371" t="s">
        <v>1027</v>
      </c>
      <c r="H371" t="s">
        <v>1018</v>
      </c>
      <c r="I371" t="s">
        <v>1018</v>
      </c>
      <c r="J371" t="s">
        <v>1027</v>
      </c>
      <c r="K371">
        <v>0</v>
      </c>
      <c r="L371" t="s">
        <v>1028</v>
      </c>
      <c r="M371">
        <v>37</v>
      </c>
      <c r="N371" t="s">
        <v>1021</v>
      </c>
    </row>
    <row r="372" spans="1:14" x14ac:dyDescent="0.3">
      <c r="A372" t="s">
        <v>384</v>
      </c>
      <c r="B372" t="s">
        <v>1014</v>
      </c>
      <c r="C372" t="s">
        <v>1015</v>
      </c>
      <c r="D372" s="1">
        <v>45785</v>
      </c>
      <c r="E372" s="1">
        <v>45805</v>
      </c>
      <c r="F372" t="s">
        <v>1016</v>
      </c>
      <c r="G372" t="s">
        <v>1017</v>
      </c>
      <c r="H372" t="s">
        <v>1018</v>
      </c>
      <c r="I372" t="s">
        <v>1018</v>
      </c>
      <c r="J372" t="s">
        <v>1019</v>
      </c>
      <c r="K372">
        <v>71296</v>
      </c>
      <c r="L372" t="s">
        <v>1020</v>
      </c>
      <c r="M372">
        <v>25</v>
      </c>
      <c r="N372" t="s">
        <v>1030</v>
      </c>
    </row>
    <row r="373" spans="1:14" x14ac:dyDescent="0.3">
      <c r="A373" t="s">
        <v>385</v>
      </c>
      <c r="B373" t="s">
        <v>1026</v>
      </c>
      <c r="C373" t="s">
        <v>1033</v>
      </c>
      <c r="D373" s="1">
        <v>46015</v>
      </c>
      <c r="E373" s="1">
        <v>46039</v>
      </c>
      <c r="F373" t="s">
        <v>1016</v>
      </c>
      <c r="G373" t="s">
        <v>1017</v>
      </c>
      <c r="H373" t="s">
        <v>1018</v>
      </c>
      <c r="I373" t="s">
        <v>1018</v>
      </c>
      <c r="J373" t="s">
        <v>1019</v>
      </c>
      <c r="K373">
        <v>137905</v>
      </c>
      <c r="L373" t="s">
        <v>1024</v>
      </c>
      <c r="M373">
        <v>35</v>
      </c>
      <c r="N373" t="s">
        <v>1021</v>
      </c>
    </row>
    <row r="374" spans="1:14" x14ac:dyDescent="0.3">
      <c r="A374" t="s">
        <v>386</v>
      </c>
      <c r="B374" t="s">
        <v>1026</v>
      </c>
      <c r="C374" t="s">
        <v>1033</v>
      </c>
      <c r="D374" s="1">
        <v>45979</v>
      </c>
      <c r="E374" s="1">
        <v>45998</v>
      </c>
      <c r="F374" t="s">
        <v>1016</v>
      </c>
      <c r="G374" t="s">
        <v>1027</v>
      </c>
      <c r="H374" t="s">
        <v>1018</v>
      </c>
      <c r="I374" t="s">
        <v>1018</v>
      </c>
      <c r="J374" t="s">
        <v>1027</v>
      </c>
      <c r="K374">
        <v>0</v>
      </c>
      <c r="L374" t="s">
        <v>1028</v>
      </c>
      <c r="M374">
        <v>40</v>
      </c>
      <c r="N374" t="s">
        <v>1030</v>
      </c>
    </row>
    <row r="375" spans="1:14" x14ac:dyDescent="0.3">
      <c r="A375" t="s">
        <v>387</v>
      </c>
      <c r="B375" t="s">
        <v>1029</v>
      </c>
      <c r="C375" t="s">
        <v>1015</v>
      </c>
      <c r="D375" s="1">
        <v>45672</v>
      </c>
      <c r="E375" s="1">
        <v>45701</v>
      </c>
      <c r="F375" t="s">
        <v>1016</v>
      </c>
      <c r="G375" t="s">
        <v>1027</v>
      </c>
      <c r="H375" t="s">
        <v>1018</v>
      </c>
      <c r="I375" t="s">
        <v>1018</v>
      </c>
      <c r="J375" t="s">
        <v>1027</v>
      </c>
      <c r="K375">
        <v>0</v>
      </c>
      <c r="L375" t="s">
        <v>1028</v>
      </c>
      <c r="M375">
        <v>49</v>
      </c>
      <c r="N375" t="s">
        <v>1025</v>
      </c>
    </row>
    <row r="376" spans="1:14" x14ac:dyDescent="0.3">
      <c r="A376" t="s">
        <v>388</v>
      </c>
      <c r="B376" t="s">
        <v>1037</v>
      </c>
      <c r="C376" t="s">
        <v>1035</v>
      </c>
      <c r="D376" s="1">
        <v>45954</v>
      </c>
      <c r="E376" s="1">
        <v>45996</v>
      </c>
      <c r="F376" t="s">
        <v>1018</v>
      </c>
      <c r="G376" t="s">
        <v>1017</v>
      </c>
      <c r="H376" t="s">
        <v>1018</v>
      </c>
      <c r="I376" t="s">
        <v>1018</v>
      </c>
      <c r="J376" t="s">
        <v>1019</v>
      </c>
      <c r="K376">
        <v>194622</v>
      </c>
      <c r="L376" t="s">
        <v>1020</v>
      </c>
      <c r="M376">
        <v>61</v>
      </c>
      <c r="N376" t="s">
        <v>1021</v>
      </c>
    </row>
    <row r="377" spans="1:14" x14ac:dyDescent="0.3">
      <c r="A377" t="s">
        <v>389</v>
      </c>
      <c r="B377" t="s">
        <v>1034</v>
      </c>
      <c r="C377" t="s">
        <v>1031</v>
      </c>
      <c r="D377" s="1">
        <v>45978</v>
      </c>
      <c r="E377" s="1">
        <v>45979</v>
      </c>
      <c r="F377" t="s">
        <v>1016</v>
      </c>
      <c r="G377" t="s">
        <v>1023</v>
      </c>
      <c r="H377" t="s">
        <v>1016</v>
      </c>
      <c r="I377" t="s">
        <v>1016</v>
      </c>
      <c r="J377" t="s">
        <v>1019</v>
      </c>
      <c r="K377">
        <v>133585</v>
      </c>
      <c r="L377" t="s">
        <v>1024</v>
      </c>
      <c r="M377">
        <v>20</v>
      </c>
      <c r="N377" t="s">
        <v>1036</v>
      </c>
    </row>
    <row r="378" spans="1:14" x14ac:dyDescent="0.3">
      <c r="A378" t="s">
        <v>390</v>
      </c>
      <c r="B378" t="s">
        <v>1034</v>
      </c>
      <c r="C378" t="s">
        <v>1031</v>
      </c>
      <c r="D378" s="1">
        <v>45941</v>
      </c>
      <c r="E378" s="1">
        <v>45968</v>
      </c>
      <c r="F378" t="s">
        <v>1016</v>
      </c>
      <c r="G378" t="s">
        <v>1027</v>
      </c>
      <c r="H378" t="s">
        <v>1018</v>
      </c>
      <c r="I378" t="s">
        <v>1018</v>
      </c>
      <c r="J378" t="s">
        <v>1027</v>
      </c>
      <c r="K378">
        <v>0</v>
      </c>
      <c r="L378" t="s">
        <v>1028</v>
      </c>
      <c r="M378">
        <v>62</v>
      </c>
      <c r="N378" t="s">
        <v>1021</v>
      </c>
    </row>
    <row r="379" spans="1:14" x14ac:dyDescent="0.3">
      <c r="A379" t="s">
        <v>391</v>
      </c>
      <c r="B379" t="s">
        <v>1026</v>
      </c>
      <c r="C379" t="s">
        <v>1033</v>
      </c>
      <c r="D379" s="1">
        <v>45743</v>
      </c>
      <c r="E379" s="1">
        <v>45768</v>
      </c>
      <c r="F379" t="s">
        <v>1016</v>
      </c>
      <c r="G379" t="s">
        <v>1023</v>
      </c>
      <c r="H379" t="s">
        <v>1016</v>
      </c>
      <c r="I379" t="s">
        <v>1016</v>
      </c>
      <c r="J379" t="s">
        <v>1019</v>
      </c>
      <c r="K379">
        <v>18046</v>
      </c>
      <c r="L379" t="s">
        <v>1020</v>
      </c>
      <c r="M379">
        <v>36</v>
      </c>
      <c r="N379" t="s">
        <v>1025</v>
      </c>
    </row>
    <row r="380" spans="1:14" x14ac:dyDescent="0.3">
      <c r="A380" t="s">
        <v>392</v>
      </c>
      <c r="B380" t="s">
        <v>1014</v>
      </c>
      <c r="C380" t="s">
        <v>1033</v>
      </c>
      <c r="D380" s="1">
        <v>45785</v>
      </c>
      <c r="E380" s="1">
        <v>45814</v>
      </c>
      <c r="F380" t="s">
        <v>1016</v>
      </c>
      <c r="G380" t="s">
        <v>1023</v>
      </c>
      <c r="H380" t="s">
        <v>1016</v>
      </c>
      <c r="I380" t="s">
        <v>1016</v>
      </c>
      <c r="J380" t="s">
        <v>1019</v>
      </c>
      <c r="K380">
        <v>63919</v>
      </c>
      <c r="L380" t="s">
        <v>1020</v>
      </c>
      <c r="M380">
        <v>59</v>
      </c>
      <c r="N380" t="s">
        <v>1025</v>
      </c>
    </row>
    <row r="381" spans="1:14" x14ac:dyDescent="0.3">
      <c r="A381" t="s">
        <v>393</v>
      </c>
      <c r="B381" t="s">
        <v>1014</v>
      </c>
      <c r="C381" t="s">
        <v>1031</v>
      </c>
      <c r="D381" s="1">
        <v>45931</v>
      </c>
      <c r="E381" s="1">
        <v>45943</v>
      </c>
      <c r="F381" t="s">
        <v>1016</v>
      </c>
      <c r="G381" t="s">
        <v>1017</v>
      </c>
      <c r="H381" t="s">
        <v>1018</v>
      </c>
      <c r="I381" t="s">
        <v>1018</v>
      </c>
      <c r="J381" t="s">
        <v>1019</v>
      </c>
      <c r="K381">
        <v>73053</v>
      </c>
      <c r="L381" t="s">
        <v>1020</v>
      </c>
      <c r="M381">
        <v>49</v>
      </c>
      <c r="N381" t="s">
        <v>1021</v>
      </c>
    </row>
    <row r="382" spans="1:14" x14ac:dyDescent="0.3">
      <c r="A382" t="s">
        <v>394</v>
      </c>
      <c r="B382" t="s">
        <v>1014</v>
      </c>
      <c r="C382" t="s">
        <v>1015</v>
      </c>
      <c r="D382" s="1">
        <v>45877</v>
      </c>
      <c r="E382" s="1">
        <v>45898</v>
      </c>
      <c r="F382" t="s">
        <v>1016</v>
      </c>
      <c r="G382" t="s">
        <v>1027</v>
      </c>
      <c r="H382" t="s">
        <v>1018</v>
      </c>
      <c r="I382" t="s">
        <v>1018</v>
      </c>
      <c r="J382" t="s">
        <v>1027</v>
      </c>
      <c r="K382">
        <v>0</v>
      </c>
      <c r="L382" t="s">
        <v>1028</v>
      </c>
      <c r="M382">
        <v>29</v>
      </c>
      <c r="N382" t="s">
        <v>1030</v>
      </c>
    </row>
    <row r="383" spans="1:14" x14ac:dyDescent="0.3">
      <c r="A383" t="s">
        <v>395</v>
      </c>
      <c r="B383" t="s">
        <v>1034</v>
      </c>
      <c r="C383" t="s">
        <v>1033</v>
      </c>
      <c r="D383" s="1">
        <v>45758</v>
      </c>
      <c r="E383" s="1">
        <v>45787</v>
      </c>
      <c r="F383" t="s">
        <v>1016</v>
      </c>
      <c r="G383" t="s">
        <v>1023</v>
      </c>
      <c r="H383" t="s">
        <v>1016</v>
      </c>
      <c r="I383" t="s">
        <v>1016</v>
      </c>
      <c r="J383" t="s">
        <v>1019</v>
      </c>
      <c r="K383">
        <v>162279</v>
      </c>
      <c r="L383" t="s">
        <v>1020</v>
      </c>
      <c r="M383">
        <v>69</v>
      </c>
      <c r="N383" t="s">
        <v>1025</v>
      </c>
    </row>
    <row r="384" spans="1:14" x14ac:dyDescent="0.3">
      <c r="A384" t="s">
        <v>396</v>
      </c>
      <c r="B384" t="s">
        <v>1037</v>
      </c>
      <c r="C384" t="s">
        <v>1022</v>
      </c>
      <c r="D384" s="1">
        <v>45801</v>
      </c>
      <c r="E384" s="1">
        <v>45819</v>
      </c>
      <c r="F384" t="s">
        <v>1016</v>
      </c>
      <c r="G384" t="s">
        <v>1017</v>
      </c>
      <c r="H384" t="s">
        <v>1018</v>
      </c>
      <c r="I384" t="s">
        <v>1018</v>
      </c>
      <c r="J384" t="s">
        <v>1019</v>
      </c>
      <c r="K384">
        <v>43542</v>
      </c>
      <c r="L384" t="s">
        <v>1020</v>
      </c>
      <c r="M384">
        <v>47</v>
      </c>
      <c r="N384" t="s">
        <v>1036</v>
      </c>
    </row>
    <row r="385" spans="1:14" x14ac:dyDescent="0.3">
      <c r="A385" t="s">
        <v>397</v>
      </c>
      <c r="B385" t="s">
        <v>1032</v>
      </c>
      <c r="C385" t="s">
        <v>1031</v>
      </c>
      <c r="D385" s="1">
        <v>45678</v>
      </c>
      <c r="E385" s="1">
        <v>45686</v>
      </c>
      <c r="F385" t="s">
        <v>1016</v>
      </c>
      <c r="G385" t="s">
        <v>1017</v>
      </c>
      <c r="H385" t="s">
        <v>1018</v>
      </c>
      <c r="I385" t="s">
        <v>1018</v>
      </c>
      <c r="J385" t="s">
        <v>1019</v>
      </c>
      <c r="K385">
        <v>115137</v>
      </c>
      <c r="L385" t="s">
        <v>1024</v>
      </c>
      <c r="M385">
        <v>40</v>
      </c>
      <c r="N385" t="s">
        <v>1025</v>
      </c>
    </row>
    <row r="386" spans="1:14" x14ac:dyDescent="0.3">
      <c r="A386" t="s">
        <v>398</v>
      </c>
      <c r="B386" t="s">
        <v>1014</v>
      </c>
      <c r="C386" t="s">
        <v>1015</v>
      </c>
      <c r="D386" s="1">
        <v>45798</v>
      </c>
      <c r="E386" s="1">
        <v>45804</v>
      </c>
      <c r="F386" t="s">
        <v>1016</v>
      </c>
      <c r="G386" t="s">
        <v>1017</v>
      </c>
      <c r="H386" t="s">
        <v>1018</v>
      </c>
      <c r="I386" t="s">
        <v>1018</v>
      </c>
      <c r="J386" t="s">
        <v>1019</v>
      </c>
      <c r="K386">
        <v>60909</v>
      </c>
      <c r="L386" t="s">
        <v>1024</v>
      </c>
      <c r="M386">
        <v>44</v>
      </c>
      <c r="N386" t="s">
        <v>1036</v>
      </c>
    </row>
    <row r="387" spans="1:14" x14ac:dyDescent="0.3">
      <c r="A387" t="s">
        <v>399</v>
      </c>
      <c r="B387" t="s">
        <v>1026</v>
      </c>
      <c r="C387" t="s">
        <v>1031</v>
      </c>
      <c r="D387" s="1">
        <v>45714</v>
      </c>
      <c r="E387" s="1">
        <v>45716</v>
      </c>
      <c r="F387" t="s">
        <v>1016</v>
      </c>
      <c r="G387" t="s">
        <v>1017</v>
      </c>
      <c r="H387" t="s">
        <v>1018</v>
      </c>
      <c r="I387" t="s">
        <v>1018</v>
      </c>
      <c r="J387" t="s">
        <v>1019</v>
      </c>
      <c r="K387">
        <v>121369</v>
      </c>
      <c r="L387" t="s">
        <v>1020</v>
      </c>
      <c r="M387">
        <v>35</v>
      </c>
      <c r="N387" t="s">
        <v>1021</v>
      </c>
    </row>
    <row r="388" spans="1:14" x14ac:dyDescent="0.3">
      <c r="A388" t="s">
        <v>400</v>
      </c>
      <c r="B388" t="s">
        <v>1034</v>
      </c>
      <c r="C388" t="s">
        <v>1031</v>
      </c>
      <c r="D388" s="1">
        <v>45773</v>
      </c>
      <c r="E388" s="1">
        <v>45779</v>
      </c>
      <c r="F388" t="s">
        <v>1016</v>
      </c>
      <c r="G388" t="s">
        <v>1017</v>
      </c>
      <c r="H388" t="s">
        <v>1018</v>
      </c>
      <c r="I388" t="s">
        <v>1018</v>
      </c>
      <c r="J388" t="s">
        <v>1019</v>
      </c>
      <c r="K388">
        <v>30712</v>
      </c>
      <c r="L388" t="s">
        <v>1024</v>
      </c>
      <c r="M388">
        <v>32</v>
      </c>
      <c r="N388" t="s">
        <v>1025</v>
      </c>
    </row>
    <row r="389" spans="1:14" x14ac:dyDescent="0.3">
      <c r="A389" t="s">
        <v>401</v>
      </c>
      <c r="B389" t="s">
        <v>1026</v>
      </c>
      <c r="C389" t="s">
        <v>1035</v>
      </c>
      <c r="D389" s="1">
        <v>45864</v>
      </c>
      <c r="E389" s="1">
        <v>45886</v>
      </c>
      <c r="F389" t="s">
        <v>1016</v>
      </c>
      <c r="G389" t="s">
        <v>1027</v>
      </c>
      <c r="H389" t="s">
        <v>1018</v>
      </c>
      <c r="I389" t="s">
        <v>1018</v>
      </c>
      <c r="J389" t="s">
        <v>1027</v>
      </c>
      <c r="K389">
        <v>0</v>
      </c>
      <c r="L389" t="s">
        <v>1028</v>
      </c>
      <c r="M389">
        <v>35</v>
      </c>
      <c r="N389" t="s">
        <v>1030</v>
      </c>
    </row>
    <row r="390" spans="1:14" x14ac:dyDescent="0.3">
      <c r="A390" t="s">
        <v>402</v>
      </c>
      <c r="B390" t="s">
        <v>1029</v>
      </c>
      <c r="C390" t="s">
        <v>1035</v>
      </c>
      <c r="D390" s="1">
        <v>45769</v>
      </c>
      <c r="E390" s="1">
        <v>45800</v>
      </c>
      <c r="F390" t="s">
        <v>1018</v>
      </c>
      <c r="G390" t="s">
        <v>1027</v>
      </c>
      <c r="H390" t="s">
        <v>1018</v>
      </c>
      <c r="I390" t="s">
        <v>1018</v>
      </c>
      <c r="J390" t="s">
        <v>1027</v>
      </c>
      <c r="K390">
        <v>0</v>
      </c>
      <c r="L390" t="s">
        <v>1028</v>
      </c>
      <c r="M390">
        <v>66</v>
      </c>
      <c r="N390" t="s">
        <v>1036</v>
      </c>
    </row>
    <row r="391" spans="1:14" x14ac:dyDescent="0.3">
      <c r="A391" t="s">
        <v>403</v>
      </c>
      <c r="B391" t="s">
        <v>1029</v>
      </c>
      <c r="C391" t="s">
        <v>1031</v>
      </c>
      <c r="D391" s="1">
        <v>45706</v>
      </c>
      <c r="E391" s="1">
        <v>45740</v>
      </c>
      <c r="F391" t="s">
        <v>1018</v>
      </c>
      <c r="G391" t="s">
        <v>1023</v>
      </c>
      <c r="H391" t="s">
        <v>1016</v>
      </c>
      <c r="I391" t="s">
        <v>1016</v>
      </c>
      <c r="J391" t="s">
        <v>1019</v>
      </c>
      <c r="K391">
        <v>94101</v>
      </c>
      <c r="L391" t="s">
        <v>1020</v>
      </c>
      <c r="M391">
        <v>64</v>
      </c>
      <c r="N391" t="s">
        <v>1021</v>
      </c>
    </row>
    <row r="392" spans="1:14" x14ac:dyDescent="0.3">
      <c r="A392" t="s">
        <v>404</v>
      </c>
      <c r="B392" t="s">
        <v>1034</v>
      </c>
      <c r="C392" t="s">
        <v>1031</v>
      </c>
      <c r="D392" s="1">
        <v>45703</v>
      </c>
      <c r="E392" s="1">
        <v>45707</v>
      </c>
      <c r="F392" t="s">
        <v>1016</v>
      </c>
      <c r="G392" t="s">
        <v>1027</v>
      </c>
      <c r="H392" t="s">
        <v>1018</v>
      </c>
      <c r="I392" t="s">
        <v>1018</v>
      </c>
      <c r="J392" t="s">
        <v>1027</v>
      </c>
      <c r="K392">
        <v>0</v>
      </c>
      <c r="L392" t="s">
        <v>1028</v>
      </c>
      <c r="M392">
        <v>11</v>
      </c>
      <c r="N392" t="s">
        <v>1036</v>
      </c>
    </row>
    <row r="393" spans="1:14" x14ac:dyDescent="0.3">
      <c r="A393" t="s">
        <v>405</v>
      </c>
      <c r="B393" t="s">
        <v>1032</v>
      </c>
      <c r="C393" t="s">
        <v>1033</v>
      </c>
      <c r="D393" s="1">
        <v>45967</v>
      </c>
      <c r="E393" s="1">
        <v>46011</v>
      </c>
      <c r="F393" t="s">
        <v>1018</v>
      </c>
      <c r="G393" t="s">
        <v>1017</v>
      </c>
      <c r="H393" t="s">
        <v>1018</v>
      </c>
      <c r="I393" t="s">
        <v>1018</v>
      </c>
      <c r="J393" t="s">
        <v>1019</v>
      </c>
      <c r="K393">
        <v>192448</v>
      </c>
      <c r="L393" t="s">
        <v>1020</v>
      </c>
      <c r="M393">
        <v>70</v>
      </c>
      <c r="N393" t="s">
        <v>1036</v>
      </c>
    </row>
    <row r="394" spans="1:14" x14ac:dyDescent="0.3">
      <c r="A394" t="s">
        <v>406</v>
      </c>
      <c r="B394" t="s">
        <v>1014</v>
      </c>
      <c r="C394" t="s">
        <v>1035</v>
      </c>
      <c r="D394" s="1">
        <v>45992</v>
      </c>
      <c r="E394" s="1">
        <v>46018</v>
      </c>
      <c r="F394" t="s">
        <v>1016</v>
      </c>
      <c r="G394" t="s">
        <v>1023</v>
      </c>
      <c r="H394" t="s">
        <v>1016</v>
      </c>
      <c r="I394" t="s">
        <v>1016</v>
      </c>
      <c r="J394" t="s">
        <v>1019</v>
      </c>
      <c r="K394">
        <v>195846</v>
      </c>
      <c r="L394" t="s">
        <v>1024</v>
      </c>
      <c r="M394">
        <v>66</v>
      </c>
      <c r="N394" t="s">
        <v>1021</v>
      </c>
    </row>
    <row r="395" spans="1:14" x14ac:dyDescent="0.3">
      <c r="A395" t="s">
        <v>407</v>
      </c>
      <c r="B395" t="s">
        <v>1032</v>
      </c>
      <c r="C395" t="s">
        <v>1022</v>
      </c>
      <c r="D395" s="1">
        <v>46005</v>
      </c>
      <c r="E395" s="1">
        <v>46022</v>
      </c>
      <c r="F395" t="s">
        <v>1016</v>
      </c>
      <c r="G395" t="s">
        <v>1023</v>
      </c>
      <c r="H395" t="s">
        <v>1016</v>
      </c>
      <c r="I395" t="s">
        <v>1016</v>
      </c>
      <c r="J395" t="s">
        <v>1019</v>
      </c>
      <c r="K395">
        <v>62001</v>
      </c>
      <c r="L395" t="s">
        <v>1020</v>
      </c>
      <c r="M395">
        <v>47</v>
      </c>
      <c r="N395" t="s">
        <v>1025</v>
      </c>
    </row>
    <row r="396" spans="1:14" x14ac:dyDescent="0.3">
      <c r="A396" t="s">
        <v>408</v>
      </c>
      <c r="B396" t="s">
        <v>1029</v>
      </c>
      <c r="C396" t="s">
        <v>1031</v>
      </c>
      <c r="D396" s="1">
        <v>45965</v>
      </c>
      <c r="E396" s="1">
        <v>45993</v>
      </c>
      <c r="F396" t="s">
        <v>1016</v>
      </c>
      <c r="G396" t="s">
        <v>1027</v>
      </c>
      <c r="H396" t="s">
        <v>1018</v>
      </c>
      <c r="I396" t="s">
        <v>1018</v>
      </c>
      <c r="J396" t="s">
        <v>1027</v>
      </c>
      <c r="K396">
        <v>0</v>
      </c>
      <c r="L396" t="s">
        <v>1028</v>
      </c>
      <c r="M396">
        <v>33</v>
      </c>
      <c r="N396" t="s">
        <v>1021</v>
      </c>
    </row>
    <row r="397" spans="1:14" x14ac:dyDescent="0.3">
      <c r="A397" t="s">
        <v>409</v>
      </c>
      <c r="B397" t="s">
        <v>1034</v>
      </c>
      <c r="C397" t="s">
        <v>1015</v>
      </c>
      <c r="D397" s="1">
        <v>45744</v>
      </c>
      <c r="E397" s="1">
        <v>45775</v>
      </c>
      <c r="F397" t="s">
        <v>1018</v>
      </c>
      <c r="G397" t="s">
        <v>1017</v>
      </c>
      <c r="H397" t="s">
        <v>1018</v>
      </c>
      <c r="I397" t="s">
        <v>1018</v>
      </c>
      <c r="J397" t="s">
        <v>1019</v>
      </c>
      <c r="K397">
        <v>35387</v>
      </c>
      <c r="L397" t="s">
        <v>1020</v>
      </c>
      <c r="M397">
        <v>71</v>
      </c>
      <c r="N397" t="s">
        <v>1030</v>
      </c>
    </row>
    <row r="398" spans="1:14" x14ac:dyDescent="0.3">
      <c r="A398" t="s">
        <v>410</v>
      </c>
      <c r="B398" t="s">
        <v>1034</v>
      </c>
      <c r="C398" t="s">
        <v>1022</v>
      </c>
      <c r="D398" s="1">
        <v>45848</v>
      </c>
      <c r="E398" s="1">
        <v>45880</v>
      </c>
      <c r="F398" t="s">
        <v>1018</v>
      </c>
      <c r="G398" t="s">
        <v>1027</v>
      </c>
      <c r="H398" t="s">
        <v>1018</v>
      </c>
      <c r="I398" t="s">
        <v>1018</v>
      </c>
      <c r="J398" t="s">
        <v>1027</v>
      </c>
      <c r="K398">
        <v>0</v>
      </c>
      <c r="L398" t="s">
        <v>1028</v>
      </c>
      <c r="M398">
        <v>61</v>
      </c>
      <c r="N398" t="s">
        <v>1025</v>
      </c>
    </row>
    <row r="399" spans="1:14" x14ac:dyDescent="0.3">
      <c r="A399" t="s">
        <v>411</v>
      </c>
      <c r="B399" t="s">
        <v>1037</v>
      </c>
      <c r="C399" t="s">
        <v>1015</v>
      </c>
      <c r="D399" s="1">
        <v>45988</v>
      </c>
      <c r="E399" s="1">
        <v>46000</v>
      </c>
      <c r="F399" t="s">
        <v>1016</v>
      </c>
      <c r="G399" t="s">
        <v>1017</v>
      </c>
      <c r="H399" t="s">
        <v>1018</v>
      </c>
      <c r="I399" t="s">
        <v>1018</v>
      </c>
      <c r="J399" t="s">
        <v>1019</v>
      </c>
      <c r="K399">
        <v>136539</v>
      </c>
      <c r="L399" t="s">
        <v>1024</v>
      </c>
      <c r="M399">
        <v>40</v>
      </c>
      <c r="N399" t="s">
        <v>1030</v>
      </c>
    </row>
    <row r="400" spans="1:14" x14ac:dyDescent="0.3">
      <c r="A400" t="s">
        <v>412</v>
      </c>
      <c r="B400" t="s">
        <v>1029</v>
      </c>
      <c r="C400" t="s">
        <v>1035</v>
      </c>
      <c r="D400" s="1">
        <v>45811</v>
      </c>
      <c r="E400" s="1">
        <v>45839</v>
      </c>
      <c r="F400" t="s">
        <v>1016</v>
      </c>
      <c r="G400" t="s">
        <v>1023</v>
      </c>
      <c r="H400" t="s">
        <v>1016</v>
      </c>
      <c r="I400" t="s">
        <v>1016</v>
      </c>
      <c r="J400" t="s">
        <v>1019</v>
      </c>
      <c r="K400">
        <v>100973</v>
      </c>
      <c r="L400" t="s">
        <v>1024</v>
      </c>
      <c r="M400">
        <v>56</v>
      </c>
      <c r="N400" t="s">
        <v>1021</v>
      </c>
    </row>
    <row r="401" spans="1:14" x14ac:dyDescent="0.3">
      <c r="A401" t="s">
        <v>413</v>
      </c>
      <c r="B401" t="s">
        <v>1029</v>
      </c>
      <c r="C401" t="s">
        <v>1035</v>
      </c>
      <c r="D401" s="1">
        <v>45901</v>
      </c>
      <c r="E401" s="1">
        <v>45926</v>
      </c>
      <c r="F401" t="s">
        <v>1016</v>
      </c>
      <c r="G401" t="s">
        <v>1017</v>
      </c>
      <c r="H401" t="s">
        <v>1018</v>
      </c>
      <c r="I401" t="s">
        <v>1018</v>
      </c>
      <c r="J401" t="s">
        <v>1019</v>
      </c>
      <c r="K401">
        <v>144114</v>
      </c>
      <c r="L401" t="s">
        <v>1020</v>
      </c>
      <c r="M401">
        <v>55</v>
      </c>
      <c r="N401" t="s">
        <v>1036</v>
      </c>
    </row>
    <row r="402" spans="1:14" x14ac:dyDescent="0.3">
      <c r="A402" t="s">
        <v>414</v>
      </c>
      <c r="B402" t="s">
        <v>1026</v>
      </c>
      <c r="C402" t="s">
        <v>1015</v>
      </c>
      <c r="D402" s="1">
        <v>45989</v>
      </c>
      <c r="E402" s="1">
        <v>46016</v>
      </c>
      <c r="F402" t="s">
        <v>1016</v>
      </c>
      <c r="G402" t="s">
        <v>1017</v>
      </c>
      <c r="H402" t="s">
        <v>1018</v>
      </c>
      <c r="I402" t="s">
        <v>1018</v>
      </c>
      <c r="J402" t="s">
        <v>1019</v>
      </c>
      <c r="K402">
        <v>150404</v>
      </c>
      <c r="L402" t="s">
        <v>1020</v>
      </c>
      <c r="M402">
        <v>67</v>
      </c>
      <c r="N402" t="s">
        <v>1030</v>
      </c>
    </row>
    <row r="403" spans="1:14" x14ac:dyDescent="0.3">
      <c r="A403" t="s">
        <v>415</v>
      </c>
      <c r="B403" t="s">
        <v>1029</v>
      </c>
      <c r="C403" t="s">
        <v>1033</v>
      </c>
      <c r="D403" s="1">
        <v>45752</v>
      </c>
      <c r="E403" s="1">
        <v>45788</v>
      </c>
      <c r="F403" t="s">
        <v>1018</v>
      </c>
      <c r="G403" t="s">
        <v>1027</v>
      </c>
      <c r="H403" t="s">
        <v>1018</v>
      </c>
      <c r="I403" t="s">
        <v>1018</v>
      </c>
      <c r="J403" t="s">
        <v>1027</v>
      </c>
      <c r="K403">
        <v>0</v>
      </c>
      <c r="L403" t="s">
        <v>1028</v>
      </c>
      <c r="M403">
        <v>58</v>
      </c>
      <c r="N403" t="s">
        <v>1021</v>
      </c>
    </row>
    <row r="404" spans="1:14" x14ac:dyDescent="0.3">
      <c r="A404" t="s">
        <v>416</v>
      </c>
      <c r="B404" t="s">
        <v>1032</v>
      </c>
      <c r="C404" t="s">
        <v>1033</v>
      </c>
      <c r="D404" s="1">
        <v>45947</v>
      </c>
      <c r="E404" s="1">
        <v>45985</v>
      </c>
      <c r="F404" t="s">
        <v>1018</v>
      </c>
      <c r="G404" t="s">
        <v>1017</v>
      </c>
      <c r="H404" t="s">
        <v>1018</v>
      </c>
      <c r="I404" t="s">
        <v>1018</v>
      </c>
      <c r="J404" t="s">
        <v>1019</v>
      </c>
      <c r="K404">
        <v>21534</v>
      </c>
      <c r="L404" t="s">
        <v>1020</v>
      </c>
      <c r="M404">
        <v>60</v>
      </c>
      <c r="N404" t="s">
        <v>1030</v>
      </c>
    </row>
    <row r="405" spans="1:14" x14ac:dyDescent="0.3">
      <c r="A405" t="s">
        <v>417</v>
      </c>
      <c r="B405" t="s">
        <v>1014</v>
      </c>
      <c r="C405" t="s">
        <v>1035</v>
      </c>
      <c r="D405" s="1">
        <v>45788</v>
      </c>
      <c r="E405" s="1">
        <v>45799</v>
      </c>
      <c r="F405" t="s">
        <v>1016</v>
      </c>
      <c r="G405" t="s">
        <v>1023</v>
      </c>
      <c r="H405" t="s">
        <v>1016</v>
      </c>
      <c r="I405" t="s">
        <v>1018</v>
      </c>
      <c r="J405" t="s">
        <v>1027</v>
      </c>
      <c r="K405">
        <v>0</v>
      </c>
      <c r="L405" t="s">
        <v>1028</v>
      </c>
      <c r="M405">
        <v>50</v>
      </c>
      <c r="N405" t="s">
        <v>1021</v>
      </c>
    </row>
    <row r="406" spans="1:14" x14ac:dyDescent="0.3">
      <c r="A406" t="s">
        <v>418</v>
      </c>
      <c r="B406" t="s">
        <v>1026</v>
      </c>
      <c r="C406" t="s">
        <v>1035</v>
      </c>
      <c r="D406" s="1">
        <v>45937</v>
      </c>
      <c r="E406" s="1">
        <v>45973</v>
      </c>
      <c r="F406" t="s">
        <v>1018</v>
      </c>
      <c r="G406" t="s">
        <v>1027</v>
      </c>
      <c r="H406" t="s">
        <v>1018</v>
      </c>
      <c r="I406" t="s">
        <v>1018</v>
      </c>
      <c r="J406" t="s">
        <v>1027</v>
      </c>
      <c r="K406">
        <v>0</v>
      </c>
      <c r="L406" t="s">
        <v>1028</v>
      </c>
      <c r="M406">
        <v>45</v>
      </c>
      <c r="N406" t="s">
        <v>1030</v>
      </c>
    </row>
    <row r="407" spans="1:14" x14ac:dyDescent="0.3">
      <c r="A407" t="s">
        <v>419</v>
      </c>
      <c r="B407" t="s">
        <v>1026</v>
      </c>
      <c r="C407" t="s">
        <v>1015</v>
      </c>
      <c r="D407" s="1">
        <v>46019</v>
      </c>
      <c r="E407" s="1">
        <v>46059</v>
      </c>
      <c r="F407" t="s">
        <v>1018</v>
      </c>
      <c r="G407" t="s">
        <v>1027</v>
      </c>
      <c r="H407" t="s">
        <v>1018</v>
      </c>
      <c r="I407" t="s">
        <v>1018</v>
      </c>
      <c r="J407" t="s">
        <v>1027</v>
      </c>
      <c r="K407">
        <v>0</v>
      </c>
      <c r="L407" t="s">
        <v>1028</v>
      </c>
      <c r="M407">
        <v>51</v>
      </c>
      <c r="N407" t="s">
        <v>1036</v>
      </c>
    </row>
    <row r="408" spans="1:14" x14ac:dyDescent="0.3">
      <c r="A408" t="s">
        <v>420</v>
      </c>
      <c r="B408" t="s">
        <v>1029</v>
      </c>
      <c r="C408" t="s">
        <v>1022</v>
      </c>
      <c r="D408" s="1">
        <v>45706</v>
      </c>
      <c r="E408" s="1">
        <v>45731</v>
      </c>
      <c r="F408" t="s">
        <v>1016</v>
      </c>
      <c r="G408" t="s">
        <v>1017</v>
      </c>
      <c r="H408" t="s">
        <v>1018</v>
      </c>
      <c r="I408" t="s">
        <v>1018</v>
      </c>
      <c r="J408" t="s">
        <v>1019</v>
      </c>
      <c r="K408">
        <v>123808</v>
      </c>
      <c r="L408" t="s">
        <v>1024</v>
      </c>
      <c r="M408">
        <v>43</v>
      </c>
      <c r="N408" t="s">
        <v>1025</v>
      </c>
    </row>
    <row r="409" spans="1:14" x14ac:dyDescent="0.3">
      <c r="A409" t="s">
        <v>421</v>
      </c>
      <c r="B409" t="s">
        <v>1032</v>
      </c>
      <c r="C409" t="s">
        <v>1015</v>
      </c>
      <c r="D409" s="1">
        <v>45725</v>
      </c>
      <c r="E409" s="1">
        <v>45735</v>
      </c>
      <c r="F409" t="s">
        <v>1016</v>
      </c>
      <c r="G409" t="s">
        <v>1027</v>
      </c>
      <c r="H409" t="s">
        <v>1018</v>
      </c>
      <c r="I409" t="s">
        <v>1018</v>
      </c>
      <c r="J409" t="s">
        <v>1027</v>
      </c>
      <c r="K409">
        <v>0</v>
      </c>
      <c r="L409" t="s">
        <v>1028</v>
      </c>
      <c r="M409">
        <v>16</v>
      </c>
      <c r="N409" t="s">
        <v>1030</v>
      </c>
    </row>
    <row r="410" spans="1:14" x14ac:dyDescent="0.3">
      <c r="A410" t="s">
        <v>422</v>
      </c>
      <c r="B410" t="s">
        <v>1026</v>
      </c>
      <c r="C410" t="s">
        <v>1033</v>
      </c>
      <c r="D410" s="1">
        <v>45679</v>
      </c>
      <c r="E410" s="1">
        <v>45687</v>
      </c>
      <c r="F410" t="s">
        <v>1016</v>
      </c>
      <c r="G410" t="s">
        <v>1027</v>
      </c>
      <c r="H410" t="s">
        <v>1018</v>
      </c>
      <c r="I410" t="s">
        <v>1018</v>
      </c>
      <c r="J410" t="s">
        <v>1027</v>
      </c>
      <c r="K410">
        <v>0</v>
      </c>
      <c r="L410" t="s">
        <v>1028</v>
      </c>
      <c r="M410">
        <v>27</v>
      </c>
      <c r="N410" t="s">
        <v>1030</v>
      </c>
    </row>
    <row r="411" spans="1:14" x14ac:dyDescent="0.3">
      <c r="A411" t="s">
        <v>423</v>
      </c>
      <c r="B411" t="s">
        <v>1037</v>
      </c>
      <c r="C411" t="s">
        <v>1015</v>
      </c>
      <c r="D411" s="1">
        <v>45667</v>
      </c>
      <c r="E411" s="1">
        <v>45699</v>
      </c>
      <c r="F411" t="s">
        <v>1018</v>
      </c>
      <c r="G411" t="s">
        <v>1027</v>
      </c>
      <c r="H411" t="s">
        <v>1018</v>
      </c>
      <c r="I411" t="s">
        <v>1018</v>
      </c>
      <c r="J411" t="s">
        <v>1027</v>
      </c>
      <c r="K411">
        <v>0</v>
      </c>
      <c r="L411" t="s">
        <v>1028</v>
      </c>
      <c r="M411">
        <v>49</v>
      </c>
      <c r="N411" t="s">
        <v>1025</v>
      </c>
    </row>
    <row r="412" spans="1:14" x14ac:dyDescent="0.3">
      <c r="A412" t="s">
        <v>424</v>
      </c>
      <c r="B412" t="s">
        <v>1026</v>
      </c>
      <c r="C412" t="s">
        <v>1022</v>
      </c>
      <c r="D412" s="1">
        <v>46013</v>
      </c>
      <c r="E412" s="1">
        <v>46055</v>
      </c>
      <c r="F412" t="s">
        <v>1018</v>
      </c>
      <c r="G412" t="s">
        <v>1023</v>
      </c>
      <c r="H412" t="s">
        <v>1016</v>
      </c>
      <c r="I412" t="s">
        <v>1016</v>
      </c>
      <c r="J412" t="s">
        <v>1019</v>
      </c>
      <c r="K412">
        <v>45118</v>
      </c>
      <c r="L412" t="s">
        <v>1020</v>
      </c>
      <c r="M412">
        <v>75</v>
      </c>
      <c r="N412" t="s">
        <v>1021</v>
      </c>
    </row>
    <row r="413" spans="1:14" x14ac:dyDescent="0.3">
      <c r="A413" t="s">
        <v>425</v>
      </c>
      <c r="B413" t="s">
        <v>1032</v>
      </c>
      <c r="C413" t="s">
        <v>1035</v>
      </c>
      <c r="D413" s="1">
        <v>45798</v>
      </c>
      <c r="E413" s="1">
        <v>45843</v>
      </c>
      <c r="F413" t="s">
        <v>1018</v>
      </c>
      <c r="G413" t="s">
        <v>1017</v>
      </c>
      <c r="H413" t="s">
        <v>1018</v>
      </c>
      <c r="I413" t="s">
        <v>1018</v>
      </c>
      <c r="J413" t="s">
        <v>1019</v>
      </c>
      <c r="K413">
        <v>29092</v>
      </c>
      <c r="L413" t="s">
        <v>1020</v>
      </c>
      <c r="M413">
        <v>51</v>
      </c>
      <c r="N413" t="s">
        <v>1025</v>
      </c>
    </row>
    <row r="414" spans="1:14" x14ac:dyDescent="0.3">
      <c r="A414" t="s">
        <v>426</v>
      </c>
      <c r="B414" t="s">
        <v>1026</v>
      </c>
      <c r="C414" t="s">
        <v>1035</v>
      </c>
      <c r="D414" s="1">
        <v>45910</v>
      </c>
      <c r="E414" s="1">
        <v>45926</v>
      </c>
      <c r="F414" t="s">
        <v>1016</v>
      </c>
      <c r="G414" t="s">
        <v>1023</v>
      </c>
      <c r="H414" t="s">
        <v>1016</v>
      </c>
      <c r="I414" t="s">
        <v>1016</v>
      </c>
      <c r="J414" t="s">
        <v>1019</v>
      </c>
      <c r="K414">
        <v>181025</v>
      </c>
      <c r="L414" t="s">
        <v>1024</v>
      </c>
      <c r="M414">
        <v>37</v>
      </c>
      <c r="N414" t="s">
        <v>1021</v>
      </c>
    </row>
    <row r="415" spans="1:14" x14ac:dyDescent="0.3">
      <c r="A415" t="s">
        <v>427</v>
      </c>
      <c r="B415" t="s">
        <v>1032</v>
      </c>
      <c r="C415" t="s">
        <v>1031</v>
      </c>
      <c r="D415" s="1">
        <v>45905</v>
      </c>
      <c r="E415" s="1">
        <v>45924</v>
      </c>
      <c r="F415" t="s">
        <v>1016</v>
      </c>
      <c r="G415" t="s">
        <v>1017</v>
      </c>
      <c r="H415" t="s">
        <v>1018</v>
      </c>
      <c r="I415" t="s">
        <v>1018</v>
      </c>
      <c r="J415" t="s">
        <v>1019</v>
      </c>
      <c r="K415">
        <v>48363</v>
      </c>
      <c r="L415" t="s">
        <v>1024</v>
      </c>
      <c r="M415">
        <v>32</v>
      </c>
      <c r="N415" t="s">
        <v>1021</v>
      </c>
    </row>
    <row r="416" spans="1:14" x14ac:dyDescent="0.3">
      <c r="A416" t="s">
        <v>428</v>
      </c>
      <c r="B416" t="s">
        <v>1014</v>
      </c>
      <c r="C416" t="s">
        <v>1035</v>
      </c>
      <c r="D416" s="1">
        <v>45710</v>
      </c>
      <c r="E416" s="1">
        <v>45745</v>
      </c>
      <c r="F416" t="s">
        <v>1018</v>
      </c>
      <c r="G416" t="s">
        <v>1023</v>
      </c>
      <c r="H416" t="s">
        <v>1016</v>
      </c>
      <c r="I416" t="s">
        <v>1016</v>
      </c>
      <c r="J416" t="s">
        <v>1019</v>
      </c>
      <c r="K416">
        <v>87979</v>
      </c>
      <c r="L416" t="s">
        <v>1020</v>
      </c>
      <c r="M416">
        <v>73</v>
      </c>
      <c r="N416" t="s">
        <v>1036</v>
      </c>
    </row>
    <row r="417" spans="1:14" x14ac:dyDescent="0.3">
      <c r="A417" t="s">
        <v>429</v>
      </c>
      <c r="B417" t="s">
        <v>1026</v>
      </c>
      <c r="C417" t="s">
        <v>1015</v>
      </c>
      <c r="D417" s="1">
        <v>45876</v>
      </c>
      <c r="E417" s="1">
        <v>45895</v>
      </c>
      <c r="F417" t="s">
        <v>1016</v>
      </c>
      <c r="G417" t="s">
        <v>1023</v>
      </c>
      <c r="H417" t="s">
        <v>1016</v>
      </c>
      <c r="I417" t="s">
        <v>1016</v>
      </c>
      <c r="J417" t="s">
        <v>1019</v>
      </c>
      <c r="K417">
        <v>104456</v>
      </c>
      <c r="L417" t="s">
        <v>1020</v>
      </c>
      <c r="M417">
        <v>39</v>
      </c>
      <c r="N417" t="s">
        <v>1036</v>
      </c>
    </row>
    <row r="418" spans="1:14" x14ac:dyDescent="0.3">
      <c r="A418" t="s">
        <v>430</v>
      </c>
      <c r="B418" t="s">
        <v>1029</v>
      </c>
      <c r="C418" t="s">
        <v>1035</v>
      </c>
      <c r="D418" s="1">
        <v>45939</v>
      </c>
      <c r="E418" s="1">
        <v>45950</v>
      </c>
      <c r="F418" t="s">
        <v>1016</v>
      </c>
      <c r="G418" t="s">
        <v>1027</v>
      </c>
      <c r="H418" t="s">
        <v>1018</v>
      </c>
      <c r="I418" t="s">
        <v>1018</v>
      </c>
      <c r="J418" t="s">
        <v>1027</v>
      </c>
      <c r="K418">
        <v>0</v>
      </c>
      <c r="L418" t="s">
        <v>1028</v>
      </c>
      <c r="M418">
        <v>17</v>
      </c>
      <c r="N418" t="s">
        <v>1030</v>
      </c>
    </row>
    <row r="419" spans="1:14" x14ac:dyDescent="0.3">
      <c r="A419" t="s">
        <v>431</v>
      </c>
      <c r="B419" t="s">
        <v>1034</v>
      </c>
      <c r="C419" t="s">
        <v>1031</v>
      </c>
      <c r="D419" s="1">
        <v>45842</v>
      </c>
      <c r="E419" s="1">
        <v>45876</v>
      </c>
      <c r="F419" t="s">
        <v>1018</v>
      </c>
      <c r="G419" t="s">
        <v>1027</v>
      </c>
      <c r="H419" t="s">
        <v>1018</v>
      </c>
      <c r="I419" t="s">
        <v>1018</v>
      </c>
      <c r="J419" t="s">
        <v>1027</v>
      </c>
      <c r="K419">
        <v>0</v>
      </c>
      <c r="L419" t="s">
        <v>1028</v>
      </c>
      <c r="M419">
        <v>67</v>
      </c>
      <c r="N419" t="s">
        <v>1030</v>
      </c>
    </row>
    <row r="420" spans="1:14" x14ac:dyDescent="0.3">
      <c r="A420" t="s">
        <v>432</v>
      </c>
      <c r="B420" t="s">
        <v>1029</v>
      </c>
      <c r="C420" t="s">
        <v>1035</v>
      </c>
      <c r="D420" s="1">
        <v>45971</v>
      </c>
      <c r="E420" s="1">
        <v>45996</v>
      </c>
      <c r="F420" t="s">
        <v>1016</v>
      </c>
      <c r="G420" t="s">
        <v>1023</v>
      </c>
      <c r="H420" t="s">
        <v>1016</v>
      </c>
      <c r="I420" t="s">
        <v>1016</v>
      </c>
      <c r="J420" t="s">
        <v>1019</v>
      </c>
      <c r="K420">
        <v>154454</v>
      </c>
      <c r="L420" t="s">
        <v>1020</v>
      </c>
      <c r="M420">
        <v>58</v>
      </c>
      <c r="N420" t="s">
        <v>1021</v>
      </c>
    </row>
    <row r="421" spans="1:14" x14ac:dyDescent="0.3">
      <c r="A421" t="s">
        <v>433</v>
      </c>
      <c r="B421" t="s">
        <v>1034</v>
      </c>
      <c r="C421" t="s">
        <v>1022</v>
      </c>
      <c r="D421" s="1">
        <v>45902</v>
      </c>
      <c r="E421" s="1">
        <v>45934</v>
      </c>
      <c r="F421" t="s">
        <v>1018</v>
      </c>
      <c r="G421" t="s">
        <v>1017</v>
      </c>
      <c r="H421" t="s">
        <v>1018</v>
      </c>
      <c r="I421" t="s">
        <v>1018</v>
      </c>
      <c r="J421" t="s">
        <v>1019</v>
      </c>
      <c r="K421">
        <v>80337</v>
      </c>
      <c r="L421" t="s">
        <v>1020</v>
      </c>
      <c r="M421">
        <v>64</v>
      </c>
      <c r="N421" t="s">
        <v>1021</v>
      </c>
    </row>
    <row r="422" spans="1:14" x14ac:dyDescent="0.3">
      <c r="A422" t="s">
        <v>434</v>
      </c>
      <c r="B422" t="s">
        <v>1034</v>
      </c>
      <c r="C422" t="s">
        <v>1022</v>
      </c>
      <c r="D422" s="1">
        <v>45722</v>
      </c>
      <c r="E422" s="1">
        <v>45741</v>
      </c>
      <c r="F422" t="s">
        <v>1016</v>
      </c>
      <c r="G422" t="s">
        <v>1017</v>
      </c>
      <c r="H422" t="s">
        <v>1018</v>
      </c>
      <c r="I422" t="s">
        <v>1018</v>
      </c>
      <c r="J422" t="s">
        <v>1019</v>
      </c>
      <c r="K422">
        <v>114233</v>
      </c>
      <c r="L422" t="s">
        <v>1020</v>
      </c>
      <c r="M422">
        <v>24</v>
      </c>
      <c r="N422" t="s">
        <v>1025</v>
      </c>
    </row>
    <row r="423" spans="1:14" x14ac:dyDescent="0.3">
      <c r="A423" t="s">
        <v>435</v>
      </c>
      <c r="B423" t="s">
        <v>1029</v>
      </c>
      <c r="C423" t="s">
        <v>1033</v>
      </c>
      <c r="D423" s="1">
        <v>45821</v>
      </c>
      <c r="E423" s="1">
        <v>45849</v>
      </c>
      <c r="F423" t="s">
        <v>1016</v>
      </c>
      <c r="G423" t="s">
        <v>1017</v>
      </c>
      <c r="H423" t="s">
        <v>1018</v>
      </c>
      <c r="I423" t="s">
        <v>1018</v>
      </c>
      <c r="J423" t="s">
        <v>1019</v>
      </c>
      <c r="K423">
        <v>7462</v>
      </c>
      <c r="L423" t="s">
        <v>1020</v>
      </c>
      <c r="M423">
        <v>45</v>
      </c>
      <c r="N423" t="s">
        <v>1030</v>
      </c>
    </row>
    <row r="424" spans="1:14" x14ac:dyDescent="0.3">
      <c r="A424" t="s">
        <v>436</v>
      </c>
      <c r="B424" t="s">
        <v>1032</v>
      </c>
      <c r="C424" t="s">
        <v>1022</v>
      </c>
      <c r="D424" s="1">
        <v>45932</v>
      </c>
      <c r="E424" s="1">
        <v>45954</v>
      </c>
      <c r="F424" t="s">
        <v>1016</v>
      </c>
      <c r="G424" t="s">
        <v>1023</v>
      </c>
      <c r="H424" t="s">
        <v>1016</v>
      </c>
      <c r="I424" t="s">
        <v>1016</v>
      </c>
      <c r="J424" t="s">
        <v>1019</v>
      </c>
      <c r="K424">
        <v>24295</v>
      </c>
      <c r="L424" t="s">
        <v>1020</v>
      </c>
      <c r="M424">
        <v>28</v>
      </c>
      <c r="N424" t="s">
        <v>1021</v>
      </c>
    </row>
    <row r="425" spans="1:14" x14ac:dyDescent="0.3">
      <c r="A425" t="s">
        <v>437</v>
      </c>
      <c r="B425" t="s">
        <v>1034</v>
      </c>
      <c r="C425" t="s">
        <v>1031</v>
      </c>
      <c r="D425" s="1">
        <v>46015</v>
      </c>
      <c r="E425" s="1">
        <v>46056</v>
      </c>
      <c r="F425" t="s">
        <v>1018</v>
      </c>
      <c r="G425" t="s">
        <v>1023</v>
      </c>
      <c r="H425" t="s">
        <v>1016</v>
      </c>
      <c r="I425" t="s">
        <v>1018</v>
      </c>
      <c r="J425" t="s">
        <v>1027</v>
      </c>
      <c r="K425">
        <v>0</v>
      </c>
      <c r="L425" t="s">
        <v>1028</v>
      </c>
      <c r="M425">
        <v>73</v>
      </c>
      <c r="N425" t="s">
        <v>1025</v>
      </c>
    </row>
    <row r="426" spans="1:14" x14ac:dyDescent="0.3">
      <c r="A426" t="s">
        <v>438</v>
      </c>
      <c r="B426" t="s">
        <v>1014</v>
      </c>
      <c r="C426" t="s">
        <v>1031</v>
      </c>
      <c r="D426" s="1">
        <v>45791</v>
      </c>
      <c r="E426" s="1">
        <v>45808</v>
      </c>
      <c r="F426" t="s">
        <v>1016</v>
      </c>
      <c r="G426" t="s">
        <v>1027</v>
      </c>
      <c r="H426" t="s">
        <v>1018</v>
      </c>
      <c r="I426" t="s">
        <v>1018</v>
      </c>
      <c r="J426" t="s">
        <v>1027</v>
      </c>
      <c r="K426">
        <v>0</v>
      </c>
      <c r="L426" t="s">
        <v>1028</v>
      </c>
      <c r="M426">
        <v>49</v>
      </c>
      <c r="N426" t="s">
        <v>1021</v>
      </c>
    </row>
    <row r="427" spans="1:14" x14ac:dyDescent="0.3">
      <c r="A427" t="s">
        <v>439</v>
      </c>
      <c r="B427" t="s">
        <v>1029</v>
      </c>
      <c r="C427" t="s">
        <v>1022</v>
      </c>
      <c r="D427" s="1">
        <v>45677</v>
      </c>
      <c r="E427" s="1">
        <v>45709</v>
      </c>
      <c r="F427" t="s">
        <v>1018</v>
      </c>
      <c r="G427" t="s">
        <v>1027</v>
      </c>
      <c r="H427" t="s">
        <v>1018</v>
      </c>
      <c r="I427" t="s">
        <v>1018</v>
      </c>
      <c r="J427" t="s">
        <v>1027</v>
      </c>
      <c r="K427">
        <v>0</v>
      </c>
      <c r="L427" t="s">
        <v>1028</v>
      </c>
      <c r="M427">
        <v>50</v>
      </c>
      <c r="N427" t="s">
        <v>1025</v>
      </c>
    </row>
    <row r="428" spans="1:14" x14ac:dyDescent="0.3">
      <c r="A428" t="s">
        <v>440</v>
      </c>
      <c r="B428" t="s">
        <v>1029</v>
      </c>
      <c r="C428" t="s">
        <v>1033</v>
      </c>
      <c r="D428" s="1">
        <v>45872</v>
      </c>
      <c r="E428" s="1">
        <v>45914</v>
      </c>
      <c r="F428" t="s">
        <v>1018</v>
      </c>
      <c r="G428" t="s">
        <v>1023</v>
      </c>
      <c r="H428" t="s">
        <v>1016</v>
      </c>
      <c r="I428" t="s">
        <v>1016</v>
      </c>
      <c r="J428" t="s">
        <v>1019</v>
      </c>
      <c r="K428">
        <v>72836</v>
      </c>
      <c r="L428" t="s">
        <v>1020</v>
      </c>
      <c r="M428">
        <v>55</v>
      </c>
      <c r="N428" t="s">
        <v>1036</v>
      </c>
    </row>
    <row r="429" spans="1:14" x14ac:dyDescent="0.3">
      <c r="A429" t="s">
        <v>441</v>
      </c>
      <c r="B429" t="s">
        <v>1034</v>
      </c>
      <c r="C429" t="s">
        <v>1015</v>
      </c>
      <c r="D429" s="1">
        <v>45839</v>
      </c>
      <c r="E429" s="1">
        <v>45861</v>
      </c>
      <c r="F429" t="s">
        <v>1016</v>
      </c>
      <c r="G429" t="s">
        <v>1027</v>
      </c>
      <c r="H429" t="s">
        <v>1018</v>
      </c>
      <c r="I429" t="s">
        <v>1018</v>
      </c>
      <c r="J429" t="s">
        <v>1027</v>
      </c>
      <c r="K429">
        <v>0</v>
      </c>
      <c r="L429" t="s">
        <v>1028</v>
      </c>
      <c r="M429">
        <v>47</v>
      </c>
      <c r="N429" t="s">
        <v>1021</v>
      </c>
    </row>
    <row r="430" spans="1:14" x14ac:dyDescent="0.3">
      <c r="A430" t="s">
        <v>442</v>
      </c>
      <c r="B430" t="s">
        <v>1014</v>
      </c>
      <c r="C430" t="s">
        <v>1022</v>
      </c>
      <c r="D430" s="1">
        <v>46019</v>
      </c>
      <c r="E430" s="1">
        <v>46028</v>
      </c>
      <c r="F430" t="s">
        <v>1016</v>
      </c>
      <c r="G430" t="s">
        <v>1017</v>
      </c>
      <c r="H430" t="s">
        <v>1018</v>
      </c>
      <c r="I430" t="s">
        <v>1018</v>
      </c>
      <c r="J430" t="s">
        <v>1019</v>
      </c>
      <c r="K430">
        <v>103423</v>
      </c>
      <c r="L430" t="s">
        <v>1020</v>
      </c>
      <c r="M430">
        <v>41</v>
      </c>
      <c r="N430" t="s">
        <v>1036</v>
      </c>
    </row>
    <row r="431" spans="1:14" x14ac:dyDescent="0.3">
      <c r="A431" t="s">
        <v>443</v>
      </c>
      <c r="B431" t="s">
        <v>1034</v>
      </c>
      <c r="C431" t="s">
        <v>1022</v>
      </c>
      <c r="D431" s="1">
        <v>45672</v>
      </c>
      <c r="E431" s="1">
        <v>45709</v>
      </c>
      <c r="F431" t="s">
        <v>1018</v>
      </c>
      <c r="G431" t="s">
        <v>1017</v>
      </c>
      <c r="H431" t="s">
        <v>1018</v>
      </c>
      <c r="I431" t="s">
        <v>1018</v>
      </c>
      <c r="J431" t="s">
        <v>1019</v>
      </c>
      <c r="K431">
        <v>41582</v>
      </c>
      <c r="L431" t="s">
        <v>1020</v>
      </c>
      <c r="M431">
        <v>70</v>
      </c>
      <c r="N431" t="s">
        <v>1025</v>
      </c>
    </row>
    <row r="432" spans="1:14" x14ac:dyDescent="0.3">
      <c r="A432" t="s">
        <v>444</v>
      </c>
      <c r="B432" t="s">
        <v>1034</v>
      </c>
      <c r="C432" t="s">
        <v>1033</v>
      </c>
      <c r="D432" s="1">
        <v>45907</v>
      </c>
      <c r="E432" s="1">
        <v>45923</v>
      </c>
      <c r="F432" t="s">
        <v>1016</v>
      </c>
      <c r="G432" t="s">
        <v>1023</v>
      </c>
      <c r="H432" t="s">
        <v>1016</v>
      </c>
      <c r="I432" t="s">
        <v>1016</v>
      </c>
      <c r="J432" t="s">
        <v>1019</v>
      </c>
      <c r="K432">
        <v>111069</v>
      </c>
      <c r="L432" t="s">
        <v>1020</v>
      </c>
      <c r="M432">
        <v>42</v>
      </c>
      <c r="N432" t="s">
        <v>1030</v>
      </c>
    </row>
    <row r="433" spans="1:14" x14ac:dyDescent="0.3">
      <c r="A433" t="s">
        <v>445</v>
      </c>
      <c r="B433" t="s">
        <v>1032</v>
      </c>
      <c r="C433" t="s">
        <v>1022</v>
      </c>
      <c r="D433" s="1">
        <v>45698</v>
      </c>
      <c r="E433" s="1">
        <v>45739</v>
      </c>
      <c r="F433" t="s">
        <v>1018</v>
      </c>
      <c r="G433" t="s">
        <v>1017</v>
      </c>
      <c r="H433" t="s">
        <v>1018</v>
      </c>
      <c r="I433" t="s">
        <v>1018</v>
      </c>
      <c r="J433" t="s">
        <v>1019</v>
      </c>
      <c r="K433">
        <v>109486</v>
      </c>
      <c r="L433" t="s">
        <v>1020</v>
      </c>
      <c r="M433">
        <v>73</v>
      </c>
      <c r="N433" t="s">
        <v>1021</v>
      </c>
    </row>
    <row r="434" spans="1:14" x14ac:dyDescent="0.3">
      <c r="A434" t="s">
        <v>446</v>
      </c>
      <c r="B434" t="s">
        <v>1037</v>
      </c>
      <c r="C434" t="s">
        <v>1035</v>
      </c>
      <c r="D434" s="1">
        <v>45682</v>
      </c>
      <c r="E434" s="1">
        <v>45705</v>
      </c>
      <c r="F434" t="s">
        <v>1016</v>
      </c>
      <c r="G434" t="s">
        <v>1017</v>
      </c>
      <c r="H434" t="s">
        <v>1018</v>
      </c>
      <c r="I434" t="s">
        <v>1018</v>
      </c>
      <c r="J434" t="s">
        <v>1019</v>
      </c>
      <c r="K434">
        <v>187090</v>
      </c>
      <c r="L434" t="s">
        <v>1020</v>
      </c>
      <c r="M434">
        <v>50</v>
      </c>
      <c r="N434" t="s">
        <v>1030</v>
      </c>
    </row>
    <row r="435" spans="1:14" x14ac:dyDescent="0.3">
      <c r="A435" t="s">
        <v>447</v>
      </c>
      <c r="B435" t="s">
        <v>1032</v>
      </c>
      <c r="C435" t="s">
        <v>1015</v>
      </c>
      <c r="D435" s="1">
        <v>45733</v>
      </c>
      <c r="E435" s="1">
        <v>45764</v>
      </c>
      <c r="F435" t="s">
        <v>1018</v>
      </c>
      <c r="G435" t="s">
        <v>1027</v>
      </c>
      <c r="H435" t="s">
        <v>1018</v>
      </c>
      <c r="I435" t="s">
        <v>1018</v>
      </c>
      <c r="J435" t="s">
        <v>1027</v>
      </c>
      <c r="K435">
        <v>0</v>
      </c>
      <c r="L435" t="s">
        <v>1028</v>
      </c>
      <c r="M435">
        <v>59</v>
      </c>
      <c r="N435" t="s">
        <v>1021</v>
      </c>
    </row>
    <row r="436" spans="1:14" x14ac:dyDescent="0.3">
      <c r="A436" t="s">
        <v>448</v>
      </c>
      <c r="B436" t="s">
        <v>1029</v>
      </c>
      <c r="C436" t="s">
        <v>1035</v>
      </c>
      <c r="D436" s="1">
        <v>45915</v>
      </c>
      <c r="E436" s="1">
        <v>45951</v>
      </c>
      <c r="F436" t="s">
        <v>1018</v>
      </c>
      <c r="G436" t="s">
        <v>1023</v>
      </c>
      <c r="H436" t="s">
        <v>1016</v>
      </c>
      <c r="I436" t="s">
        <v>1016</v>
      </c>
      <c r="J436" t="s">
        <v>1019</v>
      </c>
      <c r="K436">
        <v>36280</v>
      </c>
      <c r="L436" t="s">
        <v>1020</v>
      </c>
      <c r="M436">
        <v>74</v>
      </c>
      <c r="N436" t="s">
        <v>1025</v>
      </c>
    </row>
    <row r="437" spans="1:14" x14ac:dyDescent="0.3">
      <c r="A437" t="s">
        <v>449</v>
      </c>
      <c r="B437" t="s">
        <v>1034</v>
      </c>
      <c r="C437" t="s">
        <v>1022</v>
      </c>
      <c r="D437" s="1">
        <v>45885</v>
      </c>
      <c r="E437" s="1">
        <v>45896</v>
      </c>
      <c r="F437" t="s">
        <v>1016</v>
      </c>
      <c r="G437" t="s">
        <v>1027</v>
      </c>
      <c r="H437" t="s">
        <v>1018</v>
      </c>
      <c r="I437" t="s">
        <v>1018</v>
      </c>
      <c r="J437" t="s">
        <v>1027</v>
      </c>
      <c r="K437">
        <v>0</v>
      </c>
      <c r="L437" t="s">
        <v>1028</v>
      </c>
      <c r="M437">
        <v>41</v>
      </c>
      <c r="N437" t="s">
        <v>1030</v>
      </c>
    </row>
    <row r="438" spans="1:14" x14ac:dyDescent="0.3">
      <c r="A438" t="s">
        <v>450</v>
      </c>
      <c r="B438" t="s">
        <v>1034</v>
      </c>
      <c r="C438" t="s">
        <v>1035</v>
      </c>
      <c r="D438" s="1">
        <v>45755</v>
      </c>
      <c r="E438" s="1">
        <v>45788</v>
      </c>
      <c r="F438" t="s">
        <v>1018</v>
      </c>
      <c r="G438" t="s">
        <v>1027</v>
      </c>
      <c r="H438" t="s">
        <v>1018</v>
      </c>
      <c r="I438" t="s">
        <v>1018</v>
      </c>
      <c r="J438" t="s">
        <v>1027</v>
      </c>
      <c r="K438">
        <v>0</v>
      </c>
      <c r="L438" t="s">
        <v>1028</v>
      </c>
      <c r="M438">
        <v>69</v>
      </c>
      <c r="N438" t="s">
        <v>1030</v>
      </c>
    </row>
    <row r="439" spans="1:14" x14ac:dyDescent="0.3">
      <c r="A439" t="s">
        <v>451</v>
      </c>
      <c r="B439" t="s">
        <v>1037</v>
      </c>
      <c r="C439" t="s">
        <v>1033</v>
      </c>
      <c r="D439" s="1">
        <v>45752</v>
      </c>
      <c r="E439" s="1">
        <v>45773</v>
      </c>
      <c r="F439" t="s">
        <v>1016</v>
      </c>
      <c r="G439" t="s">
        <v>1023</v>
      </c>
      <c r="H439" t="s">
        <v>1016</v>
      </c>
      <c r="I439" t="s">
        <v>1016</v>
      </c>
      <c r="J439" t="s">
        <v>1019</v>
      </c>
      <c r="K439">
        <v>94424</v>
      </c>
      <c r="L439" t="s">
        <v>1020</v>
      </c>
      <c r="M439">
        <v>60</v>
      </c>
      <c r="N439" t="s">
        <v>1025</v>
      </c>
    </row>
    <row r="440" spans="1:14" x14ac:dyDescent="0.3">
      <c r="A440" t="s">
        <v>452</v>
      </c>
      <c r="B440" t="s">
        <v>1014</v>
      </c>
      <c r="C440" t="s">
        <v>1035</v>
      </c>
      <c r="D440" s="1">
        <v>45815</v>
      </c>
      <c r="E440" s="1">
        <v>45856</v>
      </c>
      <c r="F440" t="s">
        <v>1018</v>
      </c>
      <c r="G440" t="s">
        <v>1023</v>
      </c>
      <c r="H440" t="s">
        <v>1016</v>
      </c>
      <c r="I440" t="s">
        <v>1018</v>
      </c>
      <c r="J440" t="s">
        <v>1027</v>
      </c>
      <c r="K440">
        <v>0</v>
      </c>
      <c r="L440" t="s">
        <v>1028</v>
      </c>
      <c r="M440">
        <v>62</v>
      </c>
      <c r="N440" t="s">
        <v>1030</v>
      </c>
    </row>
    <row r="441" spans="1:14" x14ac:dyDescent="0.3">
      <c r="A441" t="s">
        <v>453</v>
      </c>
      <c r="B441" t="s">
        <v>1014</v>
      </c>
      <c r="C441" t="s">
        <v>1031</v>
      </c>
      <c r="D441" s="1">
        <v>45965</v>
      </c>
      <c r="E441" s="1">
        <v>45966</v>
      </c>
      <c r="F441" t="s">
        <v>1016</v>
      </c>
      <c r="G441" t="s">
        <v>1017</v>
      </c>
      <c r="H441" t="s">
        <v>1018</v>
      </c>
      <c r="I441" t="s">
        <v>1018</v>
      </c>
      <c r="J441" t="s">
        <v>1019</v>
      </c>
      <c r="K441">
        <v>75261</v>
      </c>
      <c r="L441" t="s">
        <v>1020</v>
      </c>
      <c r="M441">
        <v>30</v>
      </c>
      <c r="N441" t="s">
        <v>1036</v>
      </c>
    </row>
    <row r="442" spans="1:14" x14ac:dyDescent="0.3">
      <c r="A442" t="s">
        <v>454</v>
      </c>
      <c r="B442" t="s">
        <v>1014</v>
      </c>
      <c r="C442" t="s">
        <v>1015</v>
      </c>
      <c r="D442" s="1">
        <v>45786</v>
      </c>
      <c r="E442" s="1">
        <v>45824</v>
      </c>
      <c r="F442" t="s">
        <v>1018</v>
      </c>
      <c r="G442" t="s">
        <v>1027</v>
      </c>
      <c r="H442" t="s">
        <v>1018</v>
      </c>
      <c r="I442" t="s">
        <v>1018</v>
      </c>
      <c r="J442" t="s">
        <v>1027</v>
      </c>
      <c r="K442">
        <v>0</v>
      </c>
      <c r="L442" t="s">
        <v>1028</v>
      </c>
      <c r="M442">
        <v>49</v>
      </c>
      <c r="N442" t="s">
        <v>1025</v>
      </c>
    </row>
    <row r="443" spans="1:14" x14ac:dyDescent="0.3">
      <c r="A443" t="s">
        <v>455</v>
      </c>
      <c r="B443" t="s">
        <v>1029</v>
      </c>
      <c r="C443" t="s">
        <v>1033</v>
      </c>
      <c r="D443" s="1">
        <v>45683</v>
      </c>
      <c r="E443" s="1">
        <v>45723</v>
      </c>
      <c r="F443" t="s">
        <v>1018</v>
      </c>
      <c r="G443" t="s">
        <v>1027</v>
      </c>
      <c r="H443" t="s">
        <v>1018</v>
      </c>
      <c r="I443" t="s">
        <v>1018</v>
      </c>
      <c r="J443" t="s">
        <v>1027</v>
      </c>
      <c r="K443">
        <v>0</v>
      </c>
      <c r="L443" t="s">
        <v>1028</v>
      </c>
      <c r="M443">
        <v>64</v>
      </c>
      <c r="N443" t="s">
        <v>1030</v>
      </c>
    </row>
    <row r="444" spans="1:14" x14ac:dyDescent="0.3">
      <c r="A444" t="s">
        <v>456</v>
      </c>
      <c r="B444" t="s">
        <v>1032</v>
      </c>
      <c r="C444" t="s">
        <v>1031</v>
      </c>
      <c r="D444" s="1">
        <v>45905</v>
      </c>
      <c r="E444" s="1">
        <v>45912</v>
      </c>
      <c r="F444" t="s">
        <v>1016</v>
      </c>
      <c r="G444" t="s">
        <v>1027</v>
      </c>
      <c r="H444" t="s">
        <v>1018</v>
      </c>
      <c r="I444" t="s">
        <v>1018</v>
      </c>
      <c r="J444" t="s">
        <v>1027</v>
      </c>
      <c r="K444">
        <v>0</v>
      </c>
      <c r="L444" t="s">
        <v>1028</v>
      </c>
      <c r="M444">
        <v>24</v>
      </c>
      <c r="N444" t="s">
        <v>1025</v>
      </c>
    </row>
    <row r="445" spans="1:14" x14ac:dyDescent="0.3">
      <c r="A445" t="s">
        <v>457</v>
      </c>
      <c r="B445" t="s">
        <v>1026</v>
      </c>
      <c r="C445" t="s">
        <v>1022</v>
      </c>
      <c r="D445" s="1">
        <v>45676</v>
      </c>
      <c r="E445" s="1">
        <v>45702</v>
      </c>
      <c r="F445" t="s">
        <v>1016</v>
      </c>
      <c r="G445" t="s">
        <v>1027</v>
      </c>
      <c r="H445" t="s">
        <v>1018</v>
      </c>
      <c r="I445" t="s">
        <v>1018</v>
      </c>
      <c r="J445" t="s">
        <v>1027</v>
      </c>
      <c r="K445">
        <v>0</v>
      </c>
      <c r="L445" t="s">
        <v>1028</v>
      </c>
      <c r="M445">
        <v>51</v>
      </c>
      <c r="N445" t="s">
        <v>1021</v>
      </c>
    </row>
    <row r="446" spans="1:14" x14ac:dyDescent="0.3">
      <c r="A446" t="s">
        <v>458</v>
      </c>
      <c r="B446" t="s">
        <v>1032</v>
      </c>
      <c r="C446" t="s">
        <v>1033</v>
      </c>
      <c r="D446" s="1">
        <v>45695</v>
      </c>
      <c r="E446" s="1">
        <v>45723</v>
      </c>
      <c r="F446" t="s">
        <v>1016</v>
      </c>
      <c r="G446" t="s">
        <v>1027</v>
      </c>
      <c r="H446" t="s">
        <v>1018</v>
      </c>
      <c r="I446" t="s">
        <v>1018</v>
      </c>
      <c r="J446" t="s">
        <v>1027</v>
      </c>
      <c r="K446">
        <v>0</v>
      </c>
      <c r="L446" t="s">
        <v>1028</v>
      </c>
      <c r="M446">
        <v>45</v>
      </c>
      <c r="N446" t="s">
        <v>1021</v>
      </c>
    </row>
    <row r="447" spans="1:14" x14ac:dyDescent="0.3">
      <c r="A447" t="s">
        <v>459</v>
      </c>
      <c r="B447" t="s">
        <v>1037</v>
      </c>
      <c r="C447" t="s">
        <v>1035</v>
      </c>
      <c r="D447" s="1">
        <v>45908</v>
      </c>
      <c r="E447" s="1">
        <v>45924</v>
      </c>
      <c r="F447" t="s">
        <v>1016</v>
      </c>
      <c r="G447" t="s">
        <v>1027</v>
      </c>
      <c r="H447" t="s">
        <v>1018</v>
      </c>
      <c r="I447" t="s">
        <v>1018</v>
      </c>
      <c r="J447" t="s">
        <v>1027</v>
      </c>
      <c r="K447">
        <v>0</v>
      </c>
      <c r="L447" t="s">
        <v>1028</v>
      </c>
      <c r="M447">
        <v>49</v>
      </c>
      <c r="N447" t="s">
        <v>1025</v>
      </c>
    </row>
    <row r="448" spans="1:14" x14ac:dyDescent="0.3">
      <c r="A448" t="s">
        <v>460</v>
      </c>
      <c r="B448" t="s">
        <v>1014</v>
      </c>
      <c r="C448" t="s">
        <v>1033</v>
      </c>
      <c r="D448" s="1">
        <v>46019</v>
      </c>
      <c r="E448" s="1">
        <v>46046</v>
      </c>
      <c r="F448" t="s">
        <v>1016</v>
      </c>
      <c r="G448" t="s">
        <v>1017</v>
      </c>
      <c r="H448" t="s">
        <v>1018</v>
      </c>
      <c r="I448" t="s">
        <v>1018</v>
      </c>
      <c r="J448" t="s">
        <v>1019</v>
      </c>
      <c r="K448">
        <v>125744</v>
      </c>
      <c r="L448" t="s">
        <v>1020</v>
      </c>
      <c r="M448">
        <v>54</v>
      </c>
      <c r="N448" t="s">
        <v>1025</v>
      </c>
    </row>
    <row r="449" spans="1:14" x14ac:dyDescent="0.3">
      <c r="A449" t="s">
        <v>461</v>
      </c>
      <c r="B449" t="s">
        <v>1034</v>
      </c>
      <c r="C449" t="s">
        <v>1033</v>
      </c>
      <c r="D449" s="1">
        <v>45912</v>
      </c>
      <c r="E449" s="1">
        <v>45932</v>
      </c>
      <c r="F449" t="s">
        <v>1016</v>
      </c>
      <c r="G449" t="s">
        <v>1023</v>
      </c>
      <c r="H449" t="s">
        <v>1016</v>
      </c>
      <c r="I449" t="s">
        <v>1016</v>
      </c>
      <c r="J449" t="s">
        <v>1019</v>
      </c>
      <c r="K449">
        <v>65233</v>
      </c>
      <c r="L449" t="s">
        <v>1020</v>
      </c>
      <c r="M449">
        <v>50</v>
      </c>
      <c r="N449" t="s">
        <v>1021</v>
      </c>
    </row>
    <row r="450" spans="1:14" x14ac:dyDescent="0.3">
      <c r="A450" t="s">
        <v>462</v>
      </c>
      <c r="B450" t="s">
        <v>1029</v>
      </c>
      <c r="C450" t="s">
        <v>1035</v>
      </c>
      <c r="D450" s="1">
        <v>45775</v>
      </c>
      <c r="E450" s="1">
        <v>45811</v>
      </c>
      <c r="F450" t="s">
        <v>1018</v>
      </c>
      <c r="G450" t="s">
        <v>1023</v>
      </c>
      <c r="H450" t="s">
        <v>1016</v>
      </c>
      <c r="I450" t="s">
        <v>1018</v>
      </c>
      <c r="J450" t="s">
        <v>1027</v>
      </c>
      <c r="K450">
        <v>0</v>
      </c>
      <c r="L450" t="s">
        <v>1028</v>
      </c>
      <c r="M450">
        <v>65</v>
      </c>
      <c r="N450" t="s">
        <v>1030</v>
      </c>
    </row>
    <row r="451" spans="1:14" x14ac:dyDescent="0.3">
      <c r="A451" t="s">
        <v>463</v>
      </c>
      <c r="B451" t="s">
        <v>1026</v>
      </c>
      <c r="C451" t="s">
        <v>1033</v>
      </c>
      <c r="D451" s="1">
        <v>45940</v>
      </c>
      <c r="E451" s="1">
        <v>45943</v>
      </c>
      <c r="F451" t="s">
        <v>1016</v>
      </c>
      <c r="G451" t="s">
        <v>1027</v>
      </c>
      <c r="H451" t="s">
        <v>1018</v>
      </c>
      <c r="I451" t="s">
        <v>1018</v>
      </c>
      <c r="J451" t="s">
        <v>1027</v>
      </c>
      <c r="K451">
        <v>0</v>
      </c>
      <c r="L451" t="s">
        <v>1028</v>
      </c>
      <c r="M451">
        <v>22</v>
      </c>
      <c r="N451" t="s">
        <v>1030</v>
      </c>
    </row>
    <row r="452" spans="1:14" x14ac:dyDescent="0.3">
      <c r="A452" t="s">
        <v>464</v>
      </c>
      <c r="B452" t="s">
        <v>1014</v>
      </c>
      <c r="C452" t="s">
        <v>1015</v>
      </c>
      <c r="D452" s="1">
        <v>46014</v>
      </c>
      <c r="E452" s="1">
        <v>46022</v>
      </c>
      <c r="F452" t="s">
        <v>1016</v>
      </c>
      <c r="G452" t="s">
        <v>1023</v>
      </c>
      <c r="H452" t="s">
        <v>1016</v>
      </c>
      <c r="I452" t="s">
        <v>1018</v>
      </c>
      <c r="J452" t="s">
        <v>1027</v>
      </c>
      <c r="K452">
        <v>0</v>
      </c>
      <c r="L452" t="s">
        <v>1028</v>
      </c>
      <c r="M452">
        <v>41</v>
      </c>
      <c r="N452" t="s">
        <v>1021</v>
      </c>
    </row>
    <row r="453" spans="1:14" x14ac:dyDescent="0.3">
      <c r="A453" t="s">
        <v>465</v>
      </c>
      <c r="B453" t="s">
        <v>1032</v>
      </c>
      <c r="C453" t="s">
        <v>1033</v>
      </c>
      <c r="D453" s="1">
        <v>46003</v>
      </c>
      <c r="E453" s="1">
        <v>46043</v>
      </c>
      <c r="F453" t="s">
        <v>1018</v>
      </c>
      <c r="G453" t="s">
        <v>1023</v>
      </c>
      <c r="H453" t="s">
        <v>1016</v>
      </c>
      <c r="I453" t="s">
        <v>1016</v>
      </c>
      <c r="J453" t="s">
        <v>1019</v>
      </c>
      <c r="K453">
        <v>196109</v>
      </c>
      <c r="L453" t="s">
        <v>1020</v>
      </c>
      <c r="M453">
        <v>67</v>
      </c>
      <c r="N453" t="s">
        <v>1036</v>
      </c>
    </row>
    <row r="454" spans="1:14" x14ac:dyDescent="0.3">
      <c r="A454" t="s">
        <v>466</v>
      </c>
      <c r="B454" t="s">
        <v>1026</v>
      </c>
      <c r="C454" t="s">
        <v>1033</v>
      </c>
      <c r="D454" s="1">
        <v>45716</v>
      </c>
      <c r="E454" s="1">
        <v>45733</v>
      </c>
      <c r="F454" t="s">
        <v>1016</v>
      </c>
      <c r="G454" t="s">
        <v>1017</v>
      </c>
      <c r="H454" t="s">
        <v>1018</v>
      </c>
      <c r="I454" t="s">
        <v>1018</v>
      </c>
      <c r="J454" t="s">
        <v>1019</v>
      </c>
      <c r="K454">
        <v>158920</v>
      </c>
      <c r="L454" t="s">
        <v>1020</v>
      </c>
      <c r="M454">
        <v>50</v>
      </c>
      <c r="N454" t="s">
        <v>1021</v>
      </c>
    </row>
    <row r="455" spans="1:14" x14ac:dyDescent="0.3">
      <c r="A455" t="s">
        <v>467</v>
      </c>
      <c r="B455" t="s">
        <v>1034</v>
      </c>
      <c r="C455" t="s">
        <v>1033</v>
      </c>
      <c r="D455" s="1">
        <v>45894</v>
      </c>
      <c r="E455" s="1">
        <v>45913</v>
      </c>
      <c r="F455" t="s">
        <v>1016</v>
      </c>
      <c r="G455" t="s">
        <v>1023</v>
      </c>
      <c r="H455" t="s">
        <v>1016</v>
      </c>
      <c r="I455" t="s">
        <v>1016</v>
      </c>
      <c r="J455" t="s">
        <v>1019</v>
      </c>
      <c r="K455">
        <v>43928</v>
      </c>
      <c r="L455" t="s">
        <v>1020</v>
      </c>
      <c r="M455">
        <v>59</v>
      </c>
      <c r="N455" t="s">
        <v>1030</v>
      </c>
    </row>
    <row r="456" spans="1:14" x14ac:dyDescent="0.3">
      <c r="A456" t="s">
        <v>468</v>
      </c>
      <c r="B456" t="s">
        <v>1037</v>
      </c>
      <c r="C456" t="s">
        <v>1033</v>
      </c>
      <c r="D456" s="1">
        <v>45730</v>
      </c>
      <c r="E456" s="1">
        <v>45772</v>
      </c>
      <c r="F456" t="s">
        <v>1018</v>
      </c>
      <c r="G456" t="s">
        <v>1027</v>
      </c>
      <c r="H456" t="s">
        <v>1018</v>
      </c>
      <c r="I456" t="s">
        <v>1018</v>
      </c>
      <c r="J456" t="s">
        <v>1027</v>
      </c>
      <c r="K456">
        <v>0</v>
      </c>
      <c r="L456" t="s">
        <v>1028</v>
      </c>
      <c r="M456">
        <v>72</v>
      </c>
      <c r="N456" t="s">
        <v>1030</v>
      </c>
    </row>
    <row r="457" spans="1:14" x14ac:dyDescent="0.3">
      <c r="A457" t="s">
        <v>469</v>
      </c>
      <c r="B457" t="s">
        <v>1014</v>
      </c>
      <c r="C457" t="s">
        <v>1031</v>
      </c>
      <c r="D457" s="1">
        <v>45787</v>
      </c>
      <c r="E457" s="1">
        <v>45807</v>
      </c>
      <c r="F457" t="s">
        <v>1016</v>
      </c>
      <c r="G457" t="s">
        <v>1027</v>
      </c>
      <c r="H457" t="s">
        <v>1018</v>
      </c>
      <c r="I457" t="s">
        <v>1018</v>
      </c>
      <c r="J457" t="s">
        <v>1027</v>
      </c>
      <c r="K457">
        <v>0</v>
      </c>
      <c r="L457" t="s">
        <v>1028</v>
      </c>
      <c r="M457">
        <v>43</v>
      </c>
      <c r="N457" t="s">
        <v>1030</v>
      </c>
    </row>
    <row r="458" spans="1:14" x14ac:dyDescent="0.3">
      <c r="A458" t="s">
        <v>470</v>
      </c>
      <c r="B458" t="s">
        <v>1026</v>
      </c>
      <c r="C458" t="s">
        <v>1022</v>
      </c>
      <c r="D458" s="1">
        <v>45703</v>
      </c>
      <c r="E458" s="1">
        <v>45732</v>
      </c>
      <c r="F458" t="s">
        <v>1016</v>
      </c>
      <c r="G458" t="s">
        <v>1027</v>
      </c>
      <c r="H458" t="s">
        <v>1018</v>
      </c>
      <c r="I458" t="s">
        <v>1018</v>
      </c>
      <c r="J458" t="s">
        <v>1027</v>
      </c>
      <c r="K458">
        <v>0</v>
      </c>
      <c r="L458" t="s">
        <v>1028</v>
      </c>
      <c r="M458">
        <v>35</v>
      </c>
      <c r="N458" t="s">
        <v>1036</v>
      </c>
    </row>
    <row r="459" spans="1:14" x14ac:dyDescent="0.3">
      <c r="A459" t="s">
        <v>471</v>
      </c>
      <c r="B459" t="s">
        <v>1037</v>
      </c>
      <c r="C459" t="s">
        <v>1022</v>
      </c>
      <c r="D459" s="1">
        <v>45814</v>
      </c>
      <c r="E459" s="1">
        <v>45836</v>
      </c>
      <c r="F459" t="s">
        <v>1016</v>
      </c>
      <c r="G459" t="s">
        <v>1027</v>
      </c>
      <c r="H459" t="s">
        <v>1018</v>
      </c>
      <c r="I459" t="s">
        <v>1018</v>
      </c>
      <c r="J459" t="s">
        <v>1027</v>
      </c>
      <c r="K459">
        <v>0</v>
      </c>
      <c r="L459" t="s">
        <v>1028</v>
      </c>
      <c r="M459">
        <v>53</v>
      </c>
      <c r="N459" t="s">
        <v>1030</v>
      </c>
    </row>
    <row r="460" spans="1:14" x14ac:dyDescent="0.3">
      <c r="A460" t="s">
        <v>472</v>
      </c>
      <c r="B460" t="s">
        <v>1037</v>
      </c>
      <c r="C460" t="s">
        <v>1035</v>
      </c>
      <c r="D460" s="1">
        <v>45956</v>
      </c>
      <c r="E460" s="1">
        <v>45996</v>
      </c>
      <c r="F460" t="s">
        <v>1018</v>
      </c>
      <c r="G460" t="s">
        <v>1017</v>
      </c>
      <c r="H460" t="s">
        <v>1018</v>
      </c>
      <c r="I460" t="s">
        <v>1018</v>
      </c>
      <c r="J460" t="s">
        <v>1019</v>
      </c>
      <c r="K460">
        <v>17844</v>
      </c>
      <c r="L460" t="s">
        <v>1020</v>
      </c>
      <c r="M460">
        <v>78</v>
      </c>
      <c r="N460" t="s">
        <v>1025</v>
      </c>
    </row>
    <row r="461" spans="1:14" x14ac:dyDescent="0.3">
      <c r="A461" t="s">
        <v>473</v>
      </c>
      <c r="B461" t="s">
        <v>1026</v>
      </c>
      <c r="C461" t="s">
        <v>1031</v>
      </c>
      <c r="D461" s="1">
        <v>45794</v>
      </c>
      <c r="E461" s="1">
        <v>45828</v>
      </c>
      <c r="F461" t="s">
        <v>1018</v>
      </c>
      <c r="G461" t="s">
        <v>1027</v>
      </c>
      <c r="H461" t="s">
        <v>1018</v>
      </c>
      <c r="I461" t="s">
        <v>1018</v>
      </c>
      <c r="J461" t="s">
        <v>1027</v>
      </c>
      <c r="K461">
        <v>0</v>
      </c>
      <c r="L461" t="s">
        <v>1028</v>
      </c>
      <c r="M461">
        <v>70</v>
      </c>
      <c r="N461" t="s">
        <v>1036</v>
      </c>
    </row>
    <row r="462" spans="1:14" x14ac:dyDescent="0.3">
      <c r="A462" t="s">
        <v>474</v>
      </c>
      <c r="B462" t="s">
        <v>1032</v>
      </c>
      <c r="C462" t="s">
        <v>1035</v>
      </c>
      <c r="D462" s="1">
        <v>45766</v>
      </c>
      <c r="E462" s="1">
        <v>45800</v>
      </c>
      <c r="F462" t="s">
        <v>1018</v>
      </c>
      <c r="G462" t="s">
        <v>1023</v>
      </c>
      <c r="H462" t="s">
        <v>1016</v>
      </c>
      <c r="I462" t="s">
        <v>1016</v>
      </c>
      <c r="J462" t="s">
        <v>1019</v>
      </c>
      <c r="K462">
        <v>117929</v>
      </c>
      <c r="L462" t="s">
        <v>1020</v>
      </c>
      <c r="M462">
        <v>67</v>
      </c>
      <c r="N462" t="s">
        <v>1021</v>
      </c>
    </row>
    <row r="463" spans="1:14" x14ac:dyDescent="0.3">
      <c r="A463" t="s">
        <v>475</v>
      </c>
      <c r="B463" t="s">
        <v>1034</v>
      </c>
      <c r="C463" t="s">
        <v>1033</v>
      </c>
      <c r="D463" s="1">
        <v>45981</v>
      </c>
      <c r="E463" s="1">
        <v>46026</v>
      </c>
      <c r="F463" t="s">
        <v>1018</v>
      </c>
      <c r="G463" t="s">
        <v>1017</v>
      </c>
      <c r="H463" t="s">
        <v>1018</v>
      </c>
      <c r="I463" t="s">
        <v>1018</v>
      </c>
      <c r="J463" t="s">
        <v>1019</v>
      </c>
      <c r="K463">
        <v>156322</v>
      </c>
      <c r="L463" t="s">
        <v>1020</v>
      </c>
      <c r="M463">
        <v>56</v>
      </c>
      <c r="N463" t="s">
        <v>1021</v>
      </c>
    </row>
    <row r="464" spans="1:14" x14ac:dyDescent="0.3">
      <c r="A464" t="s">
        <v>476</v>
      </c>
      <c r="B464" t="s">
        <v>1026</v>
      </c>
      <c r="C464" t="s">
        <v>1033</v>
      </c>
      <c r="D464" s="1">
        <v>45954</v>
      </c>
      <c r="E464" s="1">
        <v>45988</v>
      </c>
      <c r="F464" t="s">
        <v>1018</v>
      </c>
      <c r="G464" t="s">
        <v>1027</v>
      </c>
      <c r="H464" t="s">
        <v>1018</v>
      </c>
      <c r="I464" t="s">
        <v>1018</v>
      </c>
      <c r="J464" t="s">
        <v>1027</v>
      </c>
      <c r="K464">
        <v>0</v>
      </c>
      <c r="L464" t="s">
        <v>1028</v>
      </c>
      <c r="M464">
        <v>71</v>
      </c>
      <c r="N464" t="s">
        <v>1021</v>
      </c>
    </row>
    <row r="465" spans="1:14" x14ac:dyDescent="0.3">
      <c r="A465" t="s">
        <v>477</v>
      </c>
      <c r="B465" t="s">
        <v>1029</v>
      </c>
      <c r="C465" t="s">
        <v>1031</v>
      </c>
      <c r="D465" s="1">
        <v>45815</v>
      </c>
      <c r="E465" s="1">
        <v>45822</v>
      </c>
      <c r="F465" t="s">
        <v>1016</v>
      </c>
      <c r="G465" t="s">
        <v>1023</v>
      </c>
      <c r="H465" t="s">
        <v>1016</v>
      </c>
      <c r="I465" t="s">
        <v>1016</v>
      </c>
      <c r="J465" t="s">
        <v>1019</v>
      </c>
      <c r="K465">
        <v>80285</v>
      </c>
      <c r="L465" t="s">
        <v>1020</v>
      </c>
      <c r="M465">
        <v>24</v>
      </c>
      <c r="N465" t="s">
        <v>1030</v>
      </c>
    </row>
    <row r="466" spans="1:14" x14ac:dyDescent="0.3">
      <c r="A466" t="s">
        <v>478</v>
      </c>
      <c r="B466" t="s">
        <v>1014</v>
      </c>
      <c r="C466" t="s">
        <v>1035</v>
      </c>
      <c r="D466" s="1">
        <v>45876</v>
      </c>
      <c r="E466" s="1">
        <v>45895</v>
      </c>
      <c r="F466" t="s">
        <v>1016</v>
      </c>
      <c r="G466" t="s">
        <v>1023</v>
      </c>
      <c r="H466" t="s">
        <v>1016</v>
      </c>
      <c r="I466" t="s">
        <v>1016</v>
      </c>
      <c r="J466" t="s">
        <v>1019</v>
      </c>
      <c r="K466">
        <v>196668</v>
      </c>
      <c r="L466" t="s">
        <v>1024</v>
      </c>
      <c r="M466">
        <v>24</v>
      </c>
      <c r="N466" t="s">
        <v>1036</v>
      </c>
    </row>
    <row r="467" spans="1:14" x14ac:dyDescent="0.3">
      <c r="A467" t="s">
        <v>479</v>
      </c>
      <c r="B467" t="s">
        <v>1026</v>
      </c>
      <c r="C467" t="s">
        <v>1015</v>
      </c>
      <c r="D467" s="1">
        <v>45896</v>
      </c>
      <c r="E467" s="1">
        <v>45920</v>
      </c>
      <c r="F467" t="s">
        <v>1016</v>
      </c>
      <c r="G467" t="s">
        <v>1023</v>
      </c>
      <c r="H467" t="s">
        <v>1016</v>
      </c>
      <c r="I467" t="s">
        <v>1018</v>
      </c>
      <c r="J467" t="s">
        <v>1027</v>
      </c>
      <c r="K467">
        <v>0</v>
      </c>
      <c r="L467" t="s">
        <v>1028</v>
      </c>
      <c r="M467">
        <v>35</v>
      </c>
      <c r="N467" t="s">
        <v>1025</v>
      </c>
    </row>
    <row r="468" spans="1:14" x14ac:dyDescent="0.3">
      <c r="A468" t="s">
        <v>480</v>
      </c>
      <c r="B468" t="s">
        <v>1014</v>
      </c>
      <c r="C468" t="s">
        <v>1031</v>
      </c>
      <c r="D468" s="1">
        <v>45985</v>
      </c>
      <c r="E468" s="1">
        <v>46000</v>
      </c>
      <c r="F468" t="s">
        <v>1016</v>
      </c>
      <c r="G468" t="s">
        <v>1027</v>
      </c>
      <c r="H468" t="s">
        <v>1018</v>
      </c>
      <c r="I468" t="s">
        <v>1018</v>
      </c>
      <c r="J468" t="s">
        <v>1027</v>
      </c>
      <c r="K468">
        <v>0</v>
      </c>
      <c r="L468" t="s">
        <v>1028</v>
      </c>
      <c r="M468">
        <v>29</v>
      </c>
      <c r="N468" t="s">
        <v>1030</v>
      </c>
    </row>
    <row r="469" spans="1:14" x14ac:dyDescent="0.3">
      <c r="A469" t="s">
        <v>481</v>
      </c>
      <c r="B469" t="s">
        <v>1026</v>
      </c>
      <c r="C469" t="s">
        <v>1015</v>
      </c>
      <c r="D469" s="1">
        <v>45939</v>
      </c>
      <c r="E469" s="1">
        <v>45980</v>
      </c>
      <c r="F469" t="s">
        <v>1018</v>
      </c>
      <c r="G469" t="s">
        <v>1023</v>
      </c>
      <c r="H469" t="s">
        <v>1016</v>
      </c>
      <c r="I469" t="s">
        <v>1016</v>
      </c>
      <c r="J469" t="s">
        <v>1019</v>
      </c>
      <c r="K469">
        <v>116084</v>
      </c>
      <c r="L469" t="s">
        <v>1024</v>
      </c>
      <c r="M469">
        <v>47</v>
      </c>
      <c r="N469" t="s">
        <v>1025</v>
      </c>
    </row>
    <row r="470" spans="1:14" x14ac:dyDescent="0.3">
      <c r="A470" t="s">
        <v>482</v>
      </c>
      <c r="B470" t="s">
        <v>1026</v>
      </c>
      <c r="C470" t="s">
        <v>1022</v>
      </c>
      <c r="D470" s="1">
        <v>45725</v>
      </c>
      <c r="E470" s="1">
        <v>45744</v>
      </c>
      <c r="F470" t="s">
        <v>1016</v>
      </c>
      <c r="G470" t="s">
        <v>1027</v>
      </c>
      <c r="H470" t="s">
        <v>1018</v>
      </c>
      <c r="I470" t="s">
        <v>1018</v>
      </c>
      <c r="J470" t="s">
        <v>1027</v>
      </c>
      <c r="K470">
        <v>0</v>
      </c>
      <c r="L470" t="s">
        <v>1028</v>
      </c>
      <c r="M470">
        <v>27</v>
      </c>
      <c r="N470" t="s">
        <v>1030</v>
      </c>
    </row>
    <row r="471" spans="1:14" x14ac:dyDescent="0.3">
      <c r="A471" t="s">
        <v>483</v>
      </c>
      <c r="B471" t="s">
        <v>1037</v>
      </c>
      <c r="C471" t="s">
        <v>1035</v>
      </c>
      <c r="D471" s="1">
        <v>45864</v>
      </c>
      <c r="E471" s="1">
        <v>45869</v>
      </c>
      <c r="F471" t="s">
        <v>1016</v>
      </c>
      <c r="G471" t="s">
        <v>1017</v>
      </c>
      <c r="H471" t="s">
        <v>1018</v>
      </c>
      <c r="I471" t="s">
        <v>1018</v>
      </c>
      <c r="J471" t="s">
        <v>1019</v>
      </c>
      <c r="K471">
        <v>156297</v>
      </c>
      <c r="L471" t="s">
        <v>1020</v>
      </c>
      <c r="M471">
        <v>38</v>
      </c>
      <c r="N471" t="s">
        <v>1030</v>
      </c>
    </row>
    <row r="472" spans="1:14" x14ac:dyDescent="0.3">
      <c r="A472" t="s">
        <v>484</v>
      </c>
      <c r="B472" t="s">
        <v>1014</v>
      </c>
      <c r="C472" t="s">
        <v>1033</v>
      </c>
      <c r="D472" s="1">
        <v>45979</v>
      </c>
      <c r="E472" s="1">
        <v>46000</v>
      </c>
      <c r="F472" t="s">
        <v>1016</v>
      </c>
      <c r="G472" t="s">
        <v>1023</v>
      </c>
      <c r="H472" t="s">
        <v>1016</v>
      </c>
      <c r="I472" t="s">
        <v>1018</v>
      </c>
      <c r="J472" t="s">
        <v>1027</v>
      </c>
      <c r="K472">
        <v>0</v>
      </c>
      <c r="L472" t="s">
        <v>1028</v>
      </c>
      <c r="M472">
        <v>26</v>
      </c>
      <c r="N472" t="s">
        <v>1025</v>
      </c>
    </row>
    <row r="473" spans="1:14" x14ac:dyDescent="0.3">
      <c r="A473" t="s">
        <v>485</v>
      </c>
      <c r="B473" t="s">
        <v>1032</v>
      </c>
      <c r="C473" t="s">
        <v>1033</v>
      </c>
      <c r="D473" s="1">
        <v>45860</v>
      </c>
      <c r="E473" s="1">
        <v>45898</v>
      </c>
      <c r="F473" t="s">
        <v>1018</v>
      </c>
      <c r="G473" t="s">
        <v>1023</v>
      </c>
      <c r="H473" t="s">
        <v>1016</v>
      </c>
      <c r="I473" t="s">
        <v>1018</v>
      </c>
      <c r="J473" t="s">
        <v>1027</v>
      </c>
      <c r="K473">
        <v>0</v>
      </c>
      <c r="L473" t="s">
        <v>1028</v>
      </c>
      <c r="M473">
        <v>67</v>
      </c>
      <c r="N473" t="s">
        <v>1030</v>
      </c>
    </row>
    <row r="474" spans="1:14" x14ac:dyDescent="0.3">
      <c r="A474" t="s">
        <v>486</v>
      </c>
      <c r="B474" t="s">
        <v>1029</v>
      </c>
      <c r="C474" t="s">
        <v>1022</v>
      </c>
      <c r="D474" s="1">
        <v>46004</v>
      </c>
      <c r="E474" s="1">
        <v>46043</v>
      </c>
      <c r="F474" t="s">
        <v>1018</v>
      </c>
      <c r="G474" t="s">
        <v>1027</v>
      </c>
      <c r="H474" t="s">
        <v>1018</v>
      </c>
      <c r="I474" t="s">
        <v>1018</v>
      </c>
      <c r="J474" t="s">
        <v>1027</v>
      </c>
      <c r="K474">
        <v>0</v>
      </c>
      <c r="L474" t="s">
        <v>1028</v>
      </c>
      <c r="M474">
        <v>47</v>
      </c>
      <c r="N474" t="s">
        <v>1030</v>
      </c>
    </row>
    <row r="475" spans="1:14" x14ac:dyDescent="0.3">
      <c r="A475" t="s">
        <v>487</v>
      </c>
      <c r="B475" t="s">
        <v>1037</v>
      </c>
      <c r="C475" t="s">
        <v>1022</v>
      </c>
      <c r="D475" s="1">
        <v>46011</v>
      </c>
      <c r="E475" s="1">
        <v>46013</v>
      </c>
      <c r="F475" t="s">
        <v>1016</v>
      </c>
      <c r="G475" t="s">
        <v>1027</v>
      </c>
      <c r="H475" t="s">
        <v>1018</v>
      </c>
      <c r="I475" t="s">
        <v>1018</v>
      </c>
      <c r="J475" t="s">
        <v>1027</v>
      </c>
      <c r="K475">
        <v>0</v>
      </c>
      <c r="L475" t="s">
        <v>1028</v>
      </c>
      <c r="M475">
        <v>22</v>
      </c>
      <c r="N475" t="s">
        <v>1021</v>
      </c>
    </row>
    <row r="476" spans="1:14" x14ac:dyDescent="0.3">
      <c r="A476" t="s">
        <v>488</v>
      </c>
      <c r="B476" t="s">
        <v>1037</v>
      </c>
      <c r="C476" t="s">
        <v>1022</v>
      </c>
      <c r="D476" s="1">
        <v>46007</v>
      </c>
      <c r="E476" s="1">
        <v>46043</v>
      </c>
      <c r="F476" t="s">
        <v>1018</v>
      </c>
      <c r="G476" t="s">
        <v>1017</v>
      </c>
      <c r="H476" t="s">
        <v>1018</v>
      </c>
      <c r="I476" t="s">
        <v>1018</v>
      </c>
      <c r="J476" t="s">
        <v>1019</v>
      </c>
      <c r="K476">
        <v>182286</v>
      </c>
      <c r="L476" t="s">
        <v>1020</v>
      </c>
      <c r="M476">
        <v>48</v>
      </c>
      <c r="N476" t="s">
        <v>1025</v>
      </c>
    </row>
    <row r="477" spans="1:14" x14ac:dyDescent="0.3">
      <c r="A477" t="s">
        <v>489</v>
      </c>
      <c r="B477" t="s">
        <v>1014</v>
      </c>
      <c r="C477" t="s">
        <v>1022</v>
      </c>
      <c r="D477" s="1">
        <v>45986</v>
      </c>
      <c r="E477" s="1">
        <v>46002</v>
      </c>
      <c r="F477" t="s">
        <v>1016</v>
      </c>
      <c r="G477" t="s">
        <v>1023</v>
      </c>
      <c r="H477" t="s">
        <v>1016</v>
      </c>
      <c r="I477" t="s">
        <v>1018</v>
      </c>
      <c r="J477" t="s">
        <v>1027</v>
      </c>
      <c r="K477">
        <v>0</v>
      </c>
      <c r="L477" t="s">
        <v>1028</v>
      </c>
      <c r="M477">
        <v>21</v>
      </c>
      <c r="N477" t="s">
        <v>1025</v>
      </c>
    </row>
    <row r="478" spans="1:14" x14ac:dyDescent="0.3">
      <c r="A478" t="s">
        <v>490</v>
      </c>
      <c r="B478" t="s">
        <v>1037</v>
      </c>
      <c r="C478" t="s">
        <v>1031</v>
      </c>
      <c r="D478" s="1">
        <v>45775</v>
      </c>
      <c r="E478" s="1">
        <v>45813</v>
      </c>
      <c r="F478" t="s">
        <v>1018</v>
      </c>
      <c r="G478" t="s">
        <v>1017</v>
      </c>
      <c r="H478" t="s">
        <v>1018</v>
      </c>
      <c r="I478" t="s">
        <v>1018</v>
      </c>
      <c r="J478" t="s">
        <v>1019</v>
      </c>
      <c r="K478">
        <v>144628</v>
      </c>
      <c r="L478" t="s">
        <v>1020</v>
      </c>
      <c r="M478">
        <v>71</v>
      </c>
      <c r="N478" t="s">
        <v>1021</v>
      </c>
    </row>
    <row r="479" spans="1:14" x14ac:dyDescent="0.3">
      <c r="A479" t="s">
        <v>491</v>
      </c>
      <c r="B479" t="s">
        <v>1037</v>
      </c>
      <c r="C479" t="s">
        <v>1031</v>
      </c>
      <c r="D479" s="1">
        <v>45851</v>
      </c>
      <c r="E479" s="1">
        <v>45856</v>
      </c>
      <c r="F479" t="s">
        <v>1016</v>
      </c>
      <c r="G479" t="s">
        <v>1023</v>
      </c>
      <c r="H479" t="s">
        <v>1016</v>
      </c>
      <c r="I479" t="s">
        <v>1018</v>
      </c>
      <c r="J479" t="s">
        <v>1027</v>
      </c>
      <c r="K479">
        <v>0</v>
      </c>
      <c r="L479" t="s">
        <v>1028</v>
      </c>
      <c r="M479">
        <v>39</v>
      </c>
      <c r="N479" t="s">
        <v>1030</v>
      </c>
    </row>
    <row r="480" spans="1:14" x14ac:dyDescent="0.3">
      <c r="A480" t="s">
        <v>492</v>
      </c>
      <c r="B480" t="s">
        <v>1029</v>
      </c>
      <c r="C480" t="s">
        <v>1015</v>
      </c>
      <c r="D480" s="1">
        <v>45983</v>
      </c>
      <c r="E480" s="1">
        <v>46007</v>
      </c>
      <c r="F480" t="s">
        <v>1016</v>
      </c>
      <c r="G480" t="s">
        <v>1023</v>
      </c>
      <c r="H480" t="s">
        <v>1016</v>
      </c>
      <c r="I480" t="s">
        <v>1016</v>
      </c>
      <c r="J480" t="s">
        <v>1019</v>
      </c>
      <c r="K480">
        <v>79952</v>
      </c>
      <c r="L480" t="s">
        <v>1020</v>
      </c>
      <c r="M480">
        <v>48</v>
      </c>
      <c r="N480" t="s">
        <v>1021</v>
      </c>
    </row>
    <row r="481" spans="1:14" x14ac:dyDescent="0.3">
      <c r="A481" t="s">
        <v>493</v>
      </c>
      <c r="B481" t="s">
        <v>1034</v>
      </c>
      <c r="C481" t="s">
        <v>1015</v>
      </c>
      <c r="D481" s="1">
        <v>45757</v>
      </c>
      <c r="E481" s="1">
        <v>45773</v>
      </c>
      <c r="F481" t="s">
        <v>1016</v>
      </c>
      <c r="G481" t="s">
        <v>1017</v>
      </c>
      <c r="H481" t="s">
        <v>1018</v>
      </c>
      <c r="I481" t="s">
        <v>1018</v>
      </c>
      <c r="J481" t="s">
        <v>1019</v>
      </c>
      <c r="K481">
        <v>148917</v>
      </c>
      <c r="L481" t="s">
        <v>1020</v>
      </c>
      <c r="M481">
        <v>33</v>
      </c>
      <c r="N481" t="s">
        <v>1036</v>
      </c>
    </row>
    <row r="482" spans="1:14" x14ac:dyDescent="0.3">
      <c r="A482" t="s">
        <v>494</v>
      </c>
      <c r="B482" t="s">
        <v>1026</v>
      </c>
      <c r="C482" t="s">
        <v>1033</v>
      </c>
      <c r="D482" s="1">
        <v>45703</v>
      </c>
      <c r="E482" s="1">
        <v>45705</v>
      </c>
      <c r="F482" t="s">
        <v>1016</v>
      </c>
      <c r="G482" t="s">
        <v>1017</v>
      </c>
      <c r="H482" t="s">
        <v>1018</v>
      </c>
      <c r="I482" t="s">
        <v>1018</v>
      </c>
      <c r="J482" t="s">
        <v>1019</v>
      </c>
      <c r="K482">
        <v>36793</v>
      </c>
      <c r="L482" t="s">
        <v>1020</v>
      </c>
      <c r="M482">
        <v>33</v>
      </c>
      <c r="N482" t="s">
        <v>1025</v>
      </c>
    </row>
    <row r="483" spans="1:14" x14ac:dyDescent="0.3">
      <c r="A483" t="s">
        <v>495</v>
      </c>
      <c r="B483" t="s">
        <v>1034</v>
      </c>
      <c r="C483" t="s">
        <v>1031</v>
      </c>
      <c r="D483" s="1">
        <v>45815</v>
      </c>
      <c r="E483" s="1">
        <v>45817</v>
      </c>
      <c r="F483" t="s">
        <v>1016</v>
      </c>
      <c r="G483" t="s">
        <v>1017</v>
      </c>
      <c r="H483" t="s">
        <v>1018</v>
      </c>
      <c r="I483" t="s">
        <v>1018</v>
      </c>
      <c r="J483" t="s">
        <v>1019</v>
      </c>
      <c r="K483">
        <v>14845</v>
      </c>
      <c r="L483" t="s">
        <v>1020</v>
      </c>
      <c r="M483">
        <v>34</v>
      </c>
      <c r="N483" t="s">
        <v>1025</v>
      </c>
    </row>
    <row r="484" spans="1:14" x14ac:dyDescent="0.3">
      <c r="A484" t="s">
        <v>496</v>
      </c>
      <c r="B484" t="s">
        <v>1026</v>
      </c>
      <c r="C484" t="s">
        <v>1033</v>
      </c>
      <c r="D484" s="1">
        <v>45750</v>
      </c>
      <c r="E484" s="1">
        <v>45762</v>
      </c>
      <c r="F484" t="s">
        <v>1016</v>
      </c>
      <c r="G484" t="s">
        <v>1017</v>
      </c>
      <c r="H484" t="s">
        <v>1018</v>
      </c>
      <c r="I484" t="s">
        <v>1018</v>
      </c>
      <c r="J484" t="s">
        <v>1019</v>
      </c>
      <c r="K484">
        <v>50130</v>
      </c>
      <c r="L484" t="s">
        <v>1020</v>
      </c>
      <c r="M484">
        <v>38</v>
      </c>
      <c r="N484" t="s">
        <v>1036</v>
      </c>
    </row>
    <row r="485" spans="1:14" x14ac:dyDescent="0.3">
      <c r="A485" t="s">
        <v>497</v>
      </c>
      <c r="B485" t="s">
        <v>1032</v>
      </c>
      <c r="C485" t="s">
        <v>1015</v>
      </c>
      <c r="D485" s="1">
        <v>45681</v>
      </c>
      <c r="E485" s="1">
        <v>45682</v>
      </c>
      <c r="F485" t="s">
        <v>1016</v>
      </c>
      <c r="G485" t="s">
        <v>1017</v>
      </c>
      <c r="H485" t="s">
        <v>1018</v>
      </c>
      <c r="I485" t="s">
        <v>1018</v>
      </c>
      <c r="J485" t="s">
        <v>1019</v>
      </c>
      <c r="K485">
        <v>109163</v>
      </c>
      <c r="L485" t="s">
        <v>1020</v>
      </c>
      <c r="M485">
        <v>33</v>
      </c>
      <c r="N485" t="s">
        <v>1025</v>
      </c>
    </row>
    <row r="486" spans="1:14" x14ac:dyDescent="0.3">
      <c r="A486" t="s">
        <v>498</v>
      </c>
      <c r="B486" t="s">
        <v>1032</v>
      </c>
      <c r="C486" t="s">
        <v>1035</v>
      </c>
      <c r="D486" s="1">
        <v>45853</v>
      </c>
      <c r="E486" s="1">
        <v>45857</v>
      </c>
      <c r="F486" t="s">
        <v>1016</v>
      </c>
      <c r="G486" t="s">
        <v>1027</v>
      </c>
      <c r="H486" t="s">
        <v>1018</v>
      </c>
      <c r="I486" t="s">
        <v>1018</v>
      </c>
      <c r="J486" t="s">
        <v>1027</v>
      </c>
      <c r="K486">
        <v>0</v>
      </c>
      <c r="L486" t="s">
        <v>1028</v>
      </c>
      <c r="M486">
        <v>13</v>
      </c>
      <c r="N486" t="s">
        <v>1025</v>
      </c>
    </row>
    <row r="487" spans="1:14" x14ac:dyDescent="0.3">
      <c r="A487" t="s">
        <v>499</v>
      </c>
      <c r="B487" t="s">
        <v>1014</v>
      </c>
      <c r="C487" t="s">
        <v>1033</v>
      </c>
      <c r="D487" s="1">
        <v>45801</v>
      </c>
      <c r="E487" s="1">
        <v>45822</v>
      </c>
      <c r="F487" t="s">
        <v>1016</v>
      </c>
      <c r="G487" t="s">
        <v>1023</v>
      </c>
      <c r="H487" t="s">
        <v>1016</v>
      </c>
      <c r="I487" t="s">
        <v>1016</v>
      </c>
      <c r="J487" t="s">
        <v>1019</v>
      </c>
      <c r="K487">
        <v>115542</v>
      </c>
      <c r="L487" t="s">
        <v>1024</v>
      </c>
      <c r="M487">
        <v>30</v>
      </c>
      <c r="N487" t="s">
        <v>1030</v>
      </c>
    </row>
    <row r="488" spans="1:14" x14ac:dyDescent="0.3">
      <c r="A488" t="s">
        <v>500</v>
      </c>
      <c r="B488" t="s">
        <v>1014</v>
      </c>
      <c r="C488" t="s">
        <v>1033</v>
      </c>
      <c r="D488" s="1">
        <v>45993</v>
      </c>
      <c r="E488" s="1">
        <v>46012</v>
      </c>
      <c r="F488" t="s">
        <v>1016</v>
      </c>
      <c r="G488" t="s">
        <v>1017</v>
      </c>
      <c r="H488" t="s">
        <v>1018</v>
      </c>
      <c r="I488" t="s">
        <v>1018</v>
      </c>
      <c r="J488" t="s">
        <v>1019</v>
      </c>
      <c r="K488">
        <v>181034</v>
      </c>
      <c r="L488" t="s">
        <v>1024</v>
      </c>
      <c r="M488">
        <v>26</v>
      </c>
      <c r="N488" t="s">
        <v>1025</v>
      </c>
    </row>
    <row r="489" spans="1:14" x14ac:dyDescent="0.3">
      <c r="A489" t="s">
        <v>501</v>
      </c>
      <c r="B489" t="s">
        <v>1014</v>
      </c>
      <c r="C489" t="s">
        <v>1015</v>
      </c>
      <c r="D489" s="1">
        <v>45779</v>
      </c>
      <c r="E489" s="1">
        <v>45796</v>
      </c>
      <c r="F489" t="s">
        <v>1016</v>
      </c>
      <c r="G489" t="s">
        <v>1017</v>
      </c>
      <c r="H489" t="s">
        <v>1018</v>
      </c>
      <c r="I489" t="s">
        <v>1018</v>
      </c>
      <c r="J489" t="s">
        <v>1019</v>
      </c>
      <c r="K489">
        <v>86154</v>
      </c>
      <c r="L489" t="s">
        <v>1020</v>
      </c>
      <c r="M489">
        <v>38</v>
      </c>
      <c r="N489" t="s">
        <v>1036</v>
      </c>
    </row>
    <row r="490" spans="1:14" x14ac:dyDescent="0.3">
      <c r="A490" t="s">
        <v>502</v>
      </c>
      <c r="B490" t="s">
        <v>1014</v>
      </c>
      <c r="C490" t="s">
        <v>1031</v>
      </c>
      <c r="D490" s="1">
        <v>45977</v>
      </c>
      <c r="E490" s="1">
        <v>46016</v>
      </c>
      <c r="F490" t="s">
        <v>1018</v>
      </c>
      <c r="G490" t="s">
        <v>1023</v>
      </c>
      <c r="H490" t="s">
        <v>1016</v>
      </c>
      <c r="I490" t="s">
        <v>1018</v>
      </c>
      <c r="J490" t="s">
        <v>1027</v>
      </c>
      <c r="K490">
        <v>0</v>
      </c>
      <c r="L490" t="s">
        <v>1028</v>
      </c>
      <c r="M490">
        <v>48</v>
      </c>
      <c r="N490" t="s">
        <v>1030</v>
      </c>
    </row>
    <row r="491" spans="1:14" x14ac:dyDescent="0.3">
      <c r="A491" t="s">
        <v>503</v>
      </c>
      <c r="B491" t="s">
        <v>1037</v>
      </c>
      <c r="C491" t="s">
        <v>1035</v>
      </c>
      <c r="D491" s="1">
        <v>46001</v>
      </c>
      <c r="E491" s="1">
        <v>46045</v>
      </c>
      <c r="F491" t="s">
        <v>1018</v>
      </c>
      <c r="G491" t="s">
        <v>1027</v>
      </c>
      <c r="H491" t="s">
        <v>1018</v>
      </c>
      <c r="I491" t="s">
        <v>1018</v>
      </c>
      <c r="J491" t="s">
        <v>1027</v>
      </c>
      <c r="K491">
        <v>0</v>
      </c>
      <c r="L491" t="s">
        <v>1028</v>
      </c>
      <c r="M491">
        <v>80</v>
      </c>
      <c r="N491" t="s">
        <v>1021</v>
      </c>
    </row>
    <row r="492" spans="1:14" x14ac:dyDescent="0.3">
      <c r="A492" t="s">
        <v>504</v>
      </c>
      <c r="B492" t="s">
        <v>1037</v>
      </c>
      <c r="C492" t="s">
        <v>1031</v>
      </c>
      <c r="D492" s="1">
        <v>45715</v>
      </c>
      <c r="E492" s="1">
        <v>45752</v>
      </c>
      <c r="F492" t="s">
        <v>1018</v>
      </c>
      <c r="G492" t="s">
        <v>1023</v>
      </c>
      <c r="H492" t="s">
        <v>1016</v>
      </c>
      <c r="I492" t="s">
        <v>1018</v>
      </c>
      <c r="J492" t="s">
        <v>1027</v>
      </c>
      <c r="K492">
        <v>0</v>
      </c>
      <c r="L492" t="s">
        <v>1028</v>
      </c>
      <c r="M492">
        <v>46</v>
      </c>
      <c r="N492" t="s">
        <v>1025</v>
      </c>
    </row>
    <row r="493" spans="1:14" x14ac:dyDescent="0.3">
      <c r="A493" t="s">
        <v>505</v>
      </c>
      <c r="B493" t="s">
        <v>1037</v>
      </c>
      <c r="C493" t="s">
        <v>1033</v>
      </c>
      <c r="D493" s="1">
        <v>45855</v>
      </c>
      <c r="E493" s="1">
        <v>45873</v>
      </c>
      <c r="F493" t="s">
        <v>1016</v>
      </c>
      <c r="G493" t="s">
        <v>1023</v>
      </c>
      <c r="H493" t="s">
        <v>1016</v>
      </c>
      <c r="I493" t="s">
        <v>1016</v>
      </c>
      <c r="J493" t="s">
        <v>1019</v>
      </c>
      <c r="K493">
        <v>135639</v>
      </c>
      <c r="L493" t="s">
        <v>1020</v>
      </c>
      <c r="M493">
        <v>53</v>
      </c>
      <c r="N493" t="s">
        <v>1030</v>
      </c>
    </row>
    <row r="494" spans="1:14" x14ac:dyDescent="0.3">
      <c r="A494" t="s">
        <v>506</v>
      </c>
      <c r="B494" t="s">
        <v>1026</v>
      </c>
      <c r="C494" t="s">
        <v>1022</v>
      </c>
      <c r="D494" s="1">
        <v>45994</v>
      </c>
      <c r="E494" s="1">
        <v>46006</v>
      </c>
      <c r="F494" t="s">
        <v>1016</v>
      </c>
      <c r="G494" t="s">
        <v>1017</v>
      </c>
      <c r="H494" t="s">
        <v>1018</v>
      </c>
      <c r="I494" t="s">
        <v>1018</v>
      </c>
      <c r="J494" t="s">
        <v>1019</v>
      </c>
      <c r="K494">
        <v>42011</v>
      </c>
      <c r="L494" t="s">
        <v>1020</v>
      </c>
      <c r="M494">
        <v>50</v>
      </c>
      <c r="N494" t="s">
        <v>1036</v>
      </c>
    </row>
    <row r="495" spans="1:14" x14ac:dyDescent="0.3">
      <c r="A495" t="s">
        <v>507</v>
      </c>
      <c r="B495" t="s">
        <v>1037</v>
      </c>
      <c r="C495" t="s">
        <v>1035</v>
      </c>
      <c r="D495" s="1">
        <v>45831</v>
      </c>
      <c r="E495" s="1">
        <v>45857</v>
      </c>
      <c r="F495" t="s">
        <v>1016</v>
      </c>
      <c r="G495" t="s">
        <v>1027</v>
      </c>
      <c r="H495" t="s">
        <v>1018</v>
      </c>
      <c r="I495" t="s">
        <v>1018</v>
      </c>
      <c r="J495" t="s">
        <v>1027</v>
      </c>
      <c r="K495">
        <v>0</v>
      </c>
      <c r="L495" t="s">
        <v>1028</v>
      </c>
      <c r="M495">
        <v>59</v>
      </c>
      <c r="N495" t="s">
        <v>1025</v>
      </c>
    </row>
    <row r="496" spans="1:14" x14ac:dyDescent="0.3">
      <c r="A496" t="s">
        <v>508</v>
      </c>
      <c r="B496" t="s">
        <v>1034</v>
      </c>
      <c r="C496" t="s">
        <v>1035</v>
      </c>
      <c r="D496" s="1">
        <v>45791</v>
      </c>
      <c r="E496" s="1">
        <v>45829</v>
      </c>
      <c r="F496" t="s">
        <v>1018</v>
      </c>
      <c r="G496" t="s">
        <v>1017</v>
      </c>
      <c r="H496" t="s">
        <v>1018</v>
      </c>
      <c r="I496" t="s">
        <v>1018</v>
      </c>
      <c r="J496" t="s">
        <v>1019</v>
      </c>
      <c r="K496">
        <v>161359</v>
      </c>
      <c r="L496" t="s">
        <v>1020</v>
      </c>
      <c r="M496">
        <v>69</v>
      </c>
      <c r="N496" t="s">
        <v>1036</v>
      </c>
    </row>
    <row r="497" spans="1:14" x14ac:dyDescent="0.3">
      <c r="A497" t="s">
        <v>509</v>
      </c>
      <c r="B497" t="s">
        <v>1026</v>
      </c>
      <c r="C497" t="s">
        <v>1015</v>
      </c>
      <c r="D497" s="1">
        <v>45817</v>
      </c>
      <c r="E497" s="1">
        <v>45843</v>
      </c>
      <c r="F497" t="s">
        <v>1016</v>
      </c>
      <c r="G497" t="s">
        <v>1027</v>
      </c>
      <c r="H497" t="s">
        <v>1018</v>
      </c>
      <c r="I497" t="s">
        <v>1018</v>
      </c>
      <c r="J497" t="s">
        <v>1027</v>
      </c>
      <c r="K497">
        <v>0</v>
      </c>
      <c r="L497" t="s">
        <v>1028</v>
      </c>
      <c r="M497">
        <v>37</v>
      </c>
      <c r="N497" t="s">
        <v>1025</v>
      </c>
    </row>
    <row r="498" spans="1:14" x14ac:dyDescent="0.3">
      <c r="A498" t="s">
        <v>510</v>
      </c>
      <c r="B498" t="s">
        <v>1026</v>
      </c>
      <c r="C498" t="s">
        <v>1031</v>
      </c>
      <c r="D498" s="1">
        <v>45660</v>
      </c>
      <c r="E498" s="1">
        <v>45704</v>
      </c>
      <c r="F498" t="s">
        <v>1018</v>
      </c>
      <c r="G498" t="s">
        <v>1023</v>
      </c>
      <c r="H498" t="s">
        <v>1016</v>
      </c>
      <c r="I498" t="s">
        <v>1018</v>
      </c>
      <c r="J498" t="s">
        <v>1027</v>
      </c>
      <c r="K498">
        <v>0</v>
      </c>
      <c r="L498" t="s">
        <v>1028</v>
      </c>
      <c r="M498">
        <v>81</v>
      </c>
      <c r="N498" t="s">
        <v>1036</v>
      </c>
    </row>
    <row r="499" spans="1:14" x14ac:dyDescent="0.3">
      <c r="A499" t="s">
        <v>511</v>
      </c>
      <c r="B499" t="s">
        <v>1032</v>
      </c>
      <c r="C499" t="s">
        <v>1035</v>
      </c>
      <c r="D499" s="1">
        <v>45877</v>
      </c>
      <c r="E499" s="1">
        <v>45885</v>
      </c>
      <c r="F499" t="s">
        <v>1016</v>
      </c>
      <c r="G499" t="s">
        <v>1017</v>
      </c>
      <c r="H499" t="s">
        <v>1018</v>
      </c>
      <c r="I499" t="s">
        <v>1018</v>
      </c>
      <c r="J499" t="s">
        <v>1019</v>
      </c>
      <c r="K499">
        <v>87982</v>
      </c>
      <c r="L499" t="s">
        <v>1020</v>
      </c>
      <c r="M499">
        <v>26</v>
      </c>
      <c r="N499" t="s">
        <v>1036</v>
      </c>
    </row>
    <row r="500" spans="1:14" x14ac:dyDescent="0.3">
      <c r="A500" t="s">
        <v>512</v>
      </c>
      <c r="B500" t="s">
        <v>1032</v>
      </c>
      <c r="C500" t="s">
        <v>1031</v>
      </c>
      <c r="D500" s="1">
        <v>45892</v>
      </c>
      <c r="E500" s="1">
        <v>45930</v>
      </c>
      <c r="F500" t="s">
        <v>1018</v>
      </c>
      <c r="G500" t="s">
        <v>1027</v>
      </c>
      <c r="H500" t="s">
        <v>1018</v>
      </c>
      <c r="I500" t="s">
        <v>1018</v>
      </c>
      <c r="J500" t="s">
        <v>1027</v>
      </c>
      <c r="K500">
        <v>0</v>
      </c>
      <c r="L500" t="s">
        <v>1028</v>
      </c>
      <c r="M500">
        <v>52</v>
      </c>
      <c r="N500" t="s">
        <v>1036</v>
      </c>
    </row>
    <row r="501" spans="1:14" x14ac:dyDescent="0.3">
      <c r="A501" t="s">
        <v>513</v>
      </c>
      <c r="B501" t="s">
        <v>1032</v>
      </c>
      <c r="C501" t="s">
        <v>1015</v>
      </c>
      <c r="D501" s="1">
        <v>45691</v>
      </c>
      <c r="E501" s="1">
        <v>45711</v>
      </c>
      <c r="F501" t="s">
        <v>1016</v>
      </c>
      <c r="G501" t="s">
        <v>1017</v>
      </c>
      <c r="H501" t="s">
        <v>1018</v>
      </c>
      <c r="I501" t="s">
        <v>1018</v>
      </c>
      <c r="J501" t="s">
        <v>1019</v>
      </c>
      <c r="K501">
        <v>107450</v>
      </c>
      <c r="L501" t="s">
        <v>1020</v>
      </c>
      <c r="M501">
        <v>46</v>
      </c>
      <c r="N501" t="s">
        <v>1036</v>
      </c>
    </row>
    <row r="502" spans="1:14" x14ac:dyDescent="0.3">
      <c r="A502" t="s">
        <v>514</v>
      </c>
      <c r="B502" t="s">
        <v>1032</v>
      </c>
      <c r="C502" t="s">
        <v>1022</v>
      </c>
      <c r="D502" s="1">
        <v>45951</v>
      </c>
      <c r="E502" s="1">
        <v>45995</v>
      </c>
      <c r="F502" t="s">
        <v>1018</v>
      </c>
      <c r="G502" t="s">
        <v>1023</v>
      </c>
      <c r="H502" t="s">
        <v>1016</v>
      </c>
      <c r="I502" t="s">
        <v>1016</v>
      </c>
      <c r="J502" t="s">
        <v>1019</v>
      </c>
      <c r="K502">
        <v>16644</v>
      </c>
      <c r="L502" t="s">
        <v>1020</v>
      </c>
      <c r="M502">
        <v>71</v>
      </c>
      <c r="N502" t="s">
        <v>1025</v>
      </c>
    </row>
    <row r="503" spans="1:14" x14ac:dyDescent="0.3">
      <c r="A503" t="s">
        <v>515</v>
      </c>
      <c r="B503" t="s">
        <v>1037</v>
      </c>
      <c r="C503" t="s">
        <v>1015</v>
      </c>
      <c r="D503" s="1">
        <v>45665</v>
      </c>
      <c r="E503" s="1">
        <v>45688</v>
      </c>
      <c r="F503" t="s">
        <v>1016</v>
      </c>
      <c r="G503" t="s">
        <v>1023</v>
      </c>
      <c r="H503" t="s">
        <v>1016</v>
      </c>
      <c r="I503" t="s">
        <v>1016</v>
      </c>
      <c r="J503" t="s">
        <v>1019</v>
      </c>
      <c r="K503">
        <v>13096</v>
      </c>
      <c r="L503" t="s">
        <v>1024</v>
      </c>
      <c r="M503">
        <v>62</v>
      </c>
      <c r="N503" t="s">
        <v>1030</v>
      </c>
    </row>
    <row r="504" spans="1:14" x14ac:dyDescent="0.3">
      <c r="A504" t="s">
        <v>516</v>
      </c>
      <c r="B504" t="s">
        <v>1029</v>
      </c>
      <c r="C504" t="s">
        <v>1031</v>
      </c>
      <c r="D504" s="1">
        <v>45938</v>
      </c>
      <c r="E504" s="1">
        <v>45939</v>
      </c>
      <c r="F504" t="s">
        <v>1016</v>
      </c>
      <c r="G504" t="s">
        <v>1023</v>
      </c>
      <c r="H504" t="s">
        <v>1016</v>
      </c>
      <c r="I504" t="s">
        <v>1016</v>
      </c>
      <c r="J504" t="s">
        <v>1019</v>
      </c>
      <c r="K504">
        <v>137706</v>
      </c>
      <c r="L504" t="s">
        <v>1024</v>
      </c>
      <c r="M504">
        <v>38</v>
      </c>
      <c r="N504" t="s">
        <v>1025</v>
      </c>
    </row>
    <row r="505" spans="1:14" x14ac:dyDescent="0.3">
      <c r="A505" t="s">
        <v>517</v>
      </c>
      <c r="B505" t="s">
        <v>1037</v>
      </c>
      <c r="C505" t="s">
        <v>1033</v>
      </c>
      <c r="D505" s="1">
        <v>46003</v>
      </c>
      <c r="E505" s="1">
        <v>46027</v>
      </c>
      <c r="F505" t="s">
        <v>1016</v>
      </c>
      <c r="G505" t="s">
        <v>1023</v>
      </c>
      <c r="H505" t="s">
        <v>1016</v>
      </c>
      <c r="I505" t="s">
        <v>1016</v>
      </c>
      <c r="J505" t="s">
        <v>1019</v>
      </c>
      <c r="K505">
        <v>186732</v>
      </c>
      <c r="L505" t="s">
        <v>1020</v>
      </c>
      <c r="M505">
        <v>44</v>
      </c>
      <c r="N505" t="s">
        <v>1036</v>
      </c>
    </row>
    <row r="506" spans="1:14" x14ac:dyDescent="0.3">
      <c r="A506" t="s">
        <v>518</v>
      </c>
      <c r="B506" t="s">
        <v>1037</v>
      </c>
      <c r="C506" t="s">
        <v>1031</v>
      </c>
      <c r="D506" s="1">
        <v>45995</v>
      </c>
      <c r="E506" s="1">
        <v>46028</v>
      </c>
      <c r="F506" t="s">
        <v>1018</v>
      </c>
      <c r="G506" t="s">
        <v>1017</v>
      </c>
      <c r="H506" t="s">
        <v>1018</v>
      </c>
      <c r="I506" t="s">
        <v>1018</v>
      </c>
      <c r="J506" t="s">
        <v>1019</v>
      </c>
      <c r="K506">
        <v>190129</v>
      </c>
      <c r="L506" t="s">
        <v>1020</v>
      </c>
      <c r="M506">
        <v>58</v>
      </c>
      <c r="N506" t="s">
        <v>1025</v>
      </c>
    </row>
    <row r="507" spans="1:14" x14ac:dyDescent="0.3">
      <c r="A507" t="s">
        <v>519</v>
      </c>
      <c r="B507" t="s">
        <v>1034</v>
      </c>
      <c r="C507" t="s">
        <v>1022</v>
      </c>
      <c r="D507" s="1">
        <v>45818</v>
      </c>
      <c r="E507" s="1">
        <v>45820</v>
      </c>
      <c r="F507" t="s">
        <v>1016</v>
      </c>
      <c r="G507" t="s">
        <v>1023</v>
      </c>
      <c r="H507" t="s">
        <v>1016</v>
      </c>
      <c r="I507" t="s">
        <v>1018</v>
      </c>
      <c r="J507" t="s">
        <v>1027</v>
      </c>
      <c r="K507">
        <v>0</v>
      </c>
      <c r="L507" t="s">
        <v>1028</v>
      </c>
      <c r="M507">
        <v>16</v>
      </c>
      <c r="N507" t="s">
        <v>1036</v>
      </c>
    </row>
    <row r="508" spans="1:14" x14ac:dyDescent="0.3">
      <c r="A508" t="s">
        <v>520</v>
      </c>
      <c r="B508" t="s">
        <v>1029</v>
      </c>
      <c r="C508" t="s">
        <v>1031</v>
      </c>
      <c r="D508" s="1">
        <v>45704</v>
      </c>
      <c r="E508" s="1">
        <v>45717</v>
      </c>
      <c r="F508" t="s">
        <v>1016</v>
      </c>
      <c r="G508" t="s">
        <v>1017</v>
      </c>
      <c r="H508" t="s">
        <v>1018</v>
      </c>
      <c r="I508" t="s">
        <v>1018</v>
      </c>
      <c r="J508" t="s">
        <v>1019</v>
      </c>
      <c r="K508">
        <v>36350</v>
      </c>
      <c r="L508" t="s">
        <v>1020</v>
      </c>
      <c r="M508">
        <v>42</v>
      </c>
      <c r="N508" t="s">
        <v>1021</v>
      </c>
    </row>
    <row r="509" spans="1:14" x14ac:dyDescent="0.3">
      <c r="A509" t="s">
        <v>521</v>
      </c>
      <c r="B509" t="s">
        <v>1037</v>
      </c>
      <c r="C509" t="s">
        <v>1035</v>
      </c>
      <c r="D509" s="1">
        <v>45662</v>
      </c>
      <c r="E509" s="1">
        <v>45685</v>
      </c>
      <c r="F509" t="s">
        <v>1016</v>
      </c>
      <c r="G509" t="s">
        <v>1027</v>
      </c>
      <c r="H509" t="s">
        <v>1018</v>
      </c>
      <c r="I509" t="s">
        <v>1018</v>
      </c>
      <c r="J509" t="s">
        <v>1027</v>
      </c>
      <c r="K509">
        <v>0</v>
      </c>
      <c r="L509" t="s">
        <v>1028</v>
      </c>
      <c r="M509">
        <v>32</v>
      </c>
      <c r="N509" t="s">
        <v>1025</v>
      </c>
    </row>
    <row r="510" spans="1:14" x14ac:dyDescent="0.3">
      <c r="A510" t="s">
        <v>522</v>
      </c>
      <c r="B510" t="s">
        <v>1037</v>
      </c>
      <c r="C510" t="s">
        <v>1035</v>
      </c>
      <c r="D510" s="1">
        <v>45980</v>
      </c>
      <c r="E510" s="1">
        <v>46016</v>
      </c>
      <c r="F510" t="s">
        <v>1018</v>
      </c>
      <c r="G510" t="s">
        <v>1017</v>
      </c>
      <c r="H510" t="s">
        <v>1018</v>
      </c>
      <c r="I510" t="s">
        <v>1018</v>
      </c>
      <c r="J510" t="s">
        <v>1019</v>
      </c>
      <c r="K510">
        <v>127402</v>
      </c>
      <c r="L510" t="s">
        <v>1020</v>
      </c>
      <c r="M510">
        <v>65</v>
      </c>
      <c r="N510" t="s">
        <v>1025</v>
      </c>
    </row>
    <row r="511" spans="1:14" x14ac:dyDescent="0.3">
      <c r="A511" t="s">
        <v>523</v>
      </c>
      <c r="B511" t="s">
        <v>1032</v>
      </c>
      <c r="C511" t="s">
        <v>1033</v>
      </c>
      <c r="D511" s="1">
        <v>45788</v>
      </c>
      <c r="E511" s="1">
        <v>45811</v>
      </c>
      <c r="F511" t="s">
        <v>1016</v>
      </c>
      <c r="G511" t="s">
        <v>1023</v>
      </c>
      <c r="H511" t="s">
        <v>1016</v>
      </c>
      <c r="I511" t="s">
        <v>1016</v>
      </c>
      <c r="J511" t="s">
        <v>1019</v>
      </c>
      <c r="K511">
        <v>186388</v>
      </c>
      <c r="L511" t="s">
        <v>1020</v>
      </c>
      <c r="M511">
        <v>63</v>
      </c>
      <c r="N511" t="s">
        <v>1036</v>
      </c>
    </row>
    <row r="512" spans="1:14" x14ac:dyDescent="0.3">
      <c r="A512" t="s">
        <v>524</v>
      </c>
      <c r="B512" t="s">
        <v>1029</v>
      </c>
      <c r="C512" t="s">
        <v>1033</v>
      </c>
      <c r="D512" s="1">
        <v>45752</v>
      </c>
      <c r="E512" s="1">
        <v>45774</v>
      </c>
      <c r="F512" t="s">
        <v>1016</v>
      </c>
      <c r="G512" t="s">
        <v>1023</v>
      </c>
      <c r="H512" t="s">
        <v>1016</v>
      </c>
      <c r="I512" t="s">
        <v>1016</v>
      </c>
      <c r="J512" t="s">
        <v>1019</v>
      </c>
      <c r="K512">
        <v>165803</v>
      </c>
      <c r="L512" t="s">
        <v>1020</v>
      </c>
      <c r="M512">
        <v>35</v>
      </c>
      <c r="N512" t="s">
        <v>1021</v>
      </c>
    </row>
    <row r="513" spans="1:14" x14ac:dyDescent="0.3">
      <c r="A513" t="s">
        <v>525</v>
      </c>
      <c r="B513" t="s">
        <v>1034</v>
      </c>
      <c r="C513" t="s">
        <v>1033</v>
      </c>
      <c r="D513" s="1">
        <v>45888</v>
      </c>
      <c r="E513" s="1">
        <v>45927</v>
      </c>
      <c r="F513" t="s">
        <v>1018</v>
      </c>
      <c r="G513" t="s">
        <v>1017</v>
      </c>
      <c r="H513" t="s">
        <v>1018</v>
      </c>
      <c r="I513" t="s">
        <v>1018</v>
      </c>
      <c r="J513" t="s">
        <v>1019</v>
      </c>
      <c r="K513">
        <v>163577</v>
      </c>
      <c r="L513" t="s">
        <v>1020</v>
      </c>
      <c r="M513">
        <v>69</v>
      </c>
      <c r="N513" t="s">
        <v>1025</v>
      </c>
    </row>
    <row r="514" spans="1:14" x14ac:dyDescent="0.3">
      <c r="A514" t="s">
        <v>526</v>
      </c>
      <c r="B514" t="s">
        <v>1014</v>
      </c>
      <c r="C514" t="s">
        <v>1033</v>
      </c>
      <c r="D514" s="1">
        <v>45720</v>
      </c>
      <c r="E514" s="1">
        <v>45737</v>
      </c>
      <c r="F514" t="s">
        <v>1016</v>
      </c>
      <c r="G514" t="s">
        <v>1023</v>
      </c>
      <c r="H514" t="s">
        <v>1016</v>
      </c>
      <c r="I514" t="s">
        <v>1018</v>
      </c>
      <c r="J514" t="s">
        <v>1027</v>
      </c>
      <c r="K514">
        <v>0</v>
      </c>
      <c r="L514" t="s">
        <v>1028</v>
      </c>
      <c r="M514">
        <v>28</v>
      </c>
      <c r="N514" t="s">
        <v>1030</v>
      </c>
    </row>
    <row r="515" spans="1:14" x14ac:dyDescent="0.3">
      <c r="A515" t="s">
        <v>527</v>
      </c>
      <c r="B515" t="s">
        <v>1032</v>
      </c>
      <c r="C515" t="s">
        <v>1015</v>
      </c>
      <c r="D515" s="1">
        <v>45973</v>
      </c>
      <c r="E515" s="1">
        <v>45997</v>
      </c>
      <c r="F515" t="s">
        <v>1016</v>
      </c>
      <c r="G515" t="s">
        <v>1017</v>
      </c>
      <c r="H515" t="s">
        <v>1018</v>
      </c>
      <c r="I515" t="s">
        <v>1018</v>
      </c>
      <c r="J515" t="s">
        <v>1019</v>
      </c>
      <c r="K515">
        <v>152810</v>
      </c>
      <c r="L515" t="s">
        <v>1020</v>
      </c>
      <c r="M515">
        <v>35</v>
      </c>
      <c r="N515" t="s">
        <v>1025</v>
      </c>
    </row>
    <row r="516" spans="1:14" x14ac:dyDescent="0.3">
      <c r="A516" t="s">
        <v>528</v>
      </c>
      <c r="B516" t="s">
        <v>1037</v>
      </c>
      <c r="C516" t="s">
        <v>1022</v>
      </c>
      <c r="D516" s="1">
        <v>45787</v>
      </c>
      <c r="E516" s="1">
        <v>45827</v>
      </c>
      <c r="F516" t="s">
        <v>1018</v>
      </c>
      <c r="G516" t="s">
        <v>1017</v>
      </c>
      <c r="H516" t="s">
        <v>1018</v>
      </c>
      <c r="I516" t="s">
        <v>1018</v>
      </c>
      <c r="J516" t="s">
        <v>1019</v>
      </c>
      <c r="K516">
        <v>104788</v>
      </c>
      <c r="L516" t="s">
        <v>1020</v>
      </c>
      <c r="M516">
        <v>72</v>
      </c>
      <c r="N516" t="s">
        <v>1021</v>
      </c>
    </row>
    <row r="517" spans="1:14" x14ac:dyDescent="0.3">
      <c r="A517" t="s">
        <v>529</v>
      </c>
      <c r="B517" t="s">
        <v>1029</v>
      </c>
      <c r="C517" t="s">
        <v>1033</v>
      </c>
      <c r="D517" s="1">
        <v>45882</v>
      </c>
      <c r="E517" s="1">
        <v>45907</v>
      </c>
      <c r="F517" t="s">
        <v>1016</v>
      </c>
      <c r="G517" t="s">
        <v>1027</v>
      </c>
      <c r="H517" t="s">
        <v>1018</v>
      </c>
      <c r="I517" t="s">
        <v>1018</v>
      </c>
      <c r="J517" t="s">
        <v>1027</v>
      </c>
      <c r="K517">
        <v>0</v>
      </c>
      <c r="L517" t="s">
        <v>1028</v>
      </c>
      <c r="M517">
        <v>42</v>
      </c>
      <c r="N517" t="s">
        <v>1030</v>
      </c>
    </row>
    <row r="518" spans="1:14" x14ac:dyDescent="0.3">
      <c r="A518" t="s">
        <v>530</v>
      </c>
      <c r="B518" t="s">
        <v>1037</v>
      </c>
      <c r="C518" t="s">
        <v>1015</v>
      </c>
      <c r="D518" s="1">
        <v>45928</v>
      </c>
      <c r="E518" s="1">
        <v>45946</v>
      </c>
      <c r="F518" t="s">
        <v>1016</v>
      </c>
      <c r="G518" t="s">
        <v>1023</v>
      </c>
      <c r="H518" t="s">
        <v>1016</v>
      </c>
      <c r="I518" t="s">
        <v>1016</v>
      </c>
      <c r="J518" t="s">
        <v>1019</v>
      </c>
      <c r="K518">
        <v>63364</v>
      </c>
      <c r="L518" t="s">
        <v>1024</v>
      </c>
      <c r="M518">
        <v>56</v>
      </c>
      <c r="N518" t="s">
        <v>1030</v>
      </c>
    </row>
    <row r="519" spans="1:14" x14ac:dyDescent="0.3">
      <c r="A519" t="s">
        <v>531</v>
      </c>
      <c r="B519" t="s">
        <v>1029</v>
      </c>
      <c r="C519" t="s">
        <v>1033</v>
      </c>
      <c r="D519" s="1">
        <v>45912</v>
      </c>
      <c r="E519" s="1">
        <v>45950</v>
      </c>
      <c r="F519" t="s">
        <v>1018</v>
      </c>
      <c r="G519" t="s">
        <v>1017</v>
      </c>
      <c r="H519" t="s">
        <v>1018</v>
      </c>
      <c r="I519" t="s">
        <v>1018</v>
      </c>
      <c r="J519" t="s">
        <v>1019</v>
      </c>
      <c r="K519">
        <v>177757</v>
      </c>
      <c r="L519" t="s">
        <v>1024</v>
      </c>
      <c r="M519">
        <v>66</v>
      </c>
      <c r="N519" t="s">
        <v>1030</v>
      </c>
    </row>
    <row r="520" spans="1:14" x14ac:dyDescent="0.3">
      <c r="A520" t="s">
        <v>532</v>
      </c>
      <c r="B520" t="s">
        <v>1026</v>
      </c>
      <c r="C520" t="s">
        <v>1031</v>
      </c>
      <c r="D520" s="1">
        <v>45950</v>
      </c>
      <c r="E520" s="1">
        <v>45994</v>
      </c>
      <c r="F520" t="s">
        <v>1018</v>
      </c>
      <c r="G520" t="s">
        <v>1023</v>
      </c>
      <c r="H520" t="s">
        <v>1016</v>
      </c>
      <c r="I520" t="s">
        <v>1016</v>
      </c>
      <c r="J520" t="s">
        <v>1019</v>
      </c>
      <c r="K520">
        <v>70502</v>
      </c>
      <c r="L520" t="s">
        <v>1020</v>
      </c>
      <c r="M520">
        <v>81</v>
      </c>
      <c r="N520" t="s">
        <v>1036</v>
      </c>
    </row>
    <row r="521" spans="1:14" x14ac:dyDescent="0.3">
      <c r="A521" t="s">
        <v>533</v>
      </c>
      <c r="B521" t="s">
        <v>1014</v>
      </c>
      <c r="C521" t="s">
        <v>1035</v>
      </c>
      <c r="D521" s="1">
        <v>45764</v>
      </c>
      <c r="E521" s="1">
        <v>45798</v>
      </c>
      <c r="F521" t="s">
        <v>1018</v>
      </c>
      <c r="G521" t="s">
        <v>1023</v>
      </c>
      <c r="H521" t="s">
        <v>1016</v>
      </c>
      <c r="I521" t="s">
        <v>1016</v>
      </c>
      <c r="J521" t="s">
        <v>1019</v>
      </c>
      <c r="K521">
        <v>82077</v>
      </c>
      <c r="L521" t="s">
        <v>1020</v>
      </c>
      <c r="M521">
        <v>74</v>
      </c>
      <c r="N521" t="s">
        <v>1030</v>
      </c>
    </row>
    <row r="522" spans="1:14" x14ac:dyDescent="0.3">
      <c r="A522" t="s">
        <v>534</v>
      </c>
      <c r="B522" t="s">
        <v>1029</v>
      </c>
      <c r="C522" t="s">
        <v>1022</v>
      </c>
      <c r="D522" s="1">
        <v>45972</v>
      </c>
      <c r="E522" s="1">
        <v>46010</v>
      </c>
      <c r="F522" t="s">
        <v>1018</v>
      </c>
      <c r="G522" t="s">
        <v>1017</v>
      </c>
      <c r="H522" t="s">
        <v>1018</v>
      </c>
      <c r="I522" t="s">
        <v>1018</v>
      </c>
      <c r="J522" t="s">
        <v>1019</v>
      </c>
      <c r="K522">
        <v>113712</v>
      </c>
      <c r="L522" t="s">
        <v>1020</v>
      </c>
      <c r="M522">
        <v>61</v>
      </c>
      <c r="N522" t="s">
        <v>1030</v>
      </c>
    </row>
    <row r="523" spans="1:14" x14ac:dyDescent="0.3">
      <c r="A523" t="s">
        <v>535</v>
      </c>
      <c r="B523" t="s">
        <v>1026</v>
      </c>
      <c r="C523" t="s">
        <v>1031</v>
      </c>
      <c r="D523" s="1">
        <v>45691</v>
      </c>
      <c r="E523" s="1">
        <v>45723</v>
      </c>
      <c r="F523" t="s">
        <v>1018</v>
      </c>
      <c r="G523" t="s">
        <v>1017</v>
      </c>
      <c r="H523" t="s">
        <v>1018</v>
      </c>
      <c r="I523" t="s">
        <v>1018</v>
      </c>
      <c r="J523" t="s">
        <v>1019</v>
      </c>
      <c r="K523">
        <v>51791</v>
      </c>
      <c r="L523" t="s">
        <v>1020</v>
      </c>
      <c r="M523">
        <v>63</v>
      </c>
      <c r="N523" t="s">
        <v>1030</v>
      </c>
    </row>
    <row r="524" spans="1:14" x14ac:dyDescent="0.3">
      <c r="A524" t="s">
        <v>536</v>
      </c>
      <c r="B524" t="s">
        <v>1034</v>
      </c>
      <c r="C524" t="s">
        <v>1015</v>
      </c>
      <c r="D524" s="1">
        <v>45694</v>
      </c>
      <c r="E524" s="1">
        <v>45729</v>
      </c>
      <c r="F524" t="s">
        <v>1018</v>
      </c>
      <c r="G524" t="s">
        <v>1023</v>
      </c>
      <c r="H524" t="s">
        <v>1016</v>
      </c>
      <c r="I524" t="s">
        <v>1016</v>
      </c>
      <c r="J524" t="s">
        <v>1019</v>
      </c>
      <c r="K524">
        <v>176759</v>
      </c>
      <c r="L524" t="s">
        <v>1020</v>
      </c>
      <c r="M524">
        <v>63</v>
      </c>
      <c r="N524" t="s">
        <v>1025</v>
      </c>
    </row>
    <row r="525" spans="1:14" x14ac:dyDescent="0.3">
      <c r="A525" t="s">
        <v>537</v>
      </c>
      <c r="B525" t="s">
        <v>1026</v>
      </c>
      <c r="C525" t="s">
        <v>1022</v>
      </c>
      <c r="D525" s="1">
        <v>46006</v>
      </c>
      <c r="E525" s="1">
        <v>46050</v>
      </c>
      <c r="F525" t="s">
        <v>1018</v>
      </c>
      <c r="G525" t="s">
        <v>1017</v>
      </c>
      <c r="H525" t="s">
        <v>1018</v>
      </c>
      <c r="I525" t="s">
        <v>1018</v>
      </c>
      <c r="J525" t="s">
        <v>1019</v>
      </c>
      <c r="K525">
        <v>76764</v>
      </c>
      <c r="L525" t="s">
        <v>1024</v>
      </c>
      <c r="M525">
        <v>49</v>
      </c>
      <c r="N525" t="s">
        <v>1025</v>
      </c>
    </row>
    <row r="526" spans="1:14" x14ac:dyDescent="0.3">
      <c r="A526" t="s">
        <v>538</v>
      </c>
      <c r="B526" t="s">
        <v>1032</v>
      </c>
      <c r="C526" t="s">
        <v>1035</v>
      </c>
      <c r="D526" s="1">
        <v>45700</v>
      </c>
      <c r="E526" s="1">
        <v>45745</v>
      </c>
      <c r="F526" t="s">
        <v>1018</v>
      </c>
      <c r="G526" t="s">
        <v>1027</v>
      </c>
      <c r="H526" t="s">
        <v>1018</v>
      </c>
      <c r="I526" t="s">
        <v>1018</v>
      </c>
      <c r="J526" t="s">
        <v>1027</v>
      </c>
      <c r="K526">
        <v>0</v>
      </c>
      <c r="L526" t="s">
        <v>1028</v>
      </c>
      <c r="M526">
        <v>53</v>
      </c>
      <c r="N526" t="s">
        <v>1025</v>
      </c>
    </row>
    <row r="527" spans="1:14" x14ac:dyDescent="0.3">
      <c r="A527" t="s">
        <v>539</v>
      </c>
      <c r="B527" t="s">
        <v>1037</v>
      </c>
      <c r="C527" t="s">
        <v>1033</v>
      </c>
      <c r="D527" s="1">
        <v>46016</v>
      </c>
      <c r="E527" s="1">
        <v>46018</v>
      </c>
      <c r="F527" t="s">
        <v>1016</v>
      </c>
      <c r="G527" t="s">
        <v>1023</v>
      </c>
      <c r="H527" t="s">
        <v>1016</v>
      </c>
      <c r="I527" t="s">
        <v>1016</v>
      </c>
      <c r="J527" t="s">
        <v>1019</v>
      </c>
      <c r="K527">
        <v>142921</v>
      </c>
      <c r="L527" t="s">
        <v>1020</v>
      </c>
      <c r="M527">
        <v>13</v>
      </c>
      <c r="N527" t="s">
        <v>1036</v>
      </c>
    </row>
    <row r="528" spans="1:14" x14ac:dyDescent="0.3">
      <c r="A528" t="s">
        <v>540</v>
      </c>
      <c r="B528" t="s">
        <v>1029</v>
      </c>
      <c r="C528" t="s">
        <v>1031</v>
      </c>
      <c r="D528" s="1">
        <v>45915</v>
      </c>
      <c r="E528" s="1">
        <v>45939</v>
      </c>
      <c r="F528" t="s">
        <v>1016</v>
      </c>
      <c r="G528" t="s">
        <v>1017</v>
      </c>
      <c r="H528" t="s">
        <v>1018</v>
      </c>
      <c r="I528" t="s">
        <v>1018</v>
      </c>
      <c r="J528" t="s">
        <v>1019</v>
      </c>
      <c r="K528">
        <v>150073</v>
      </c>
      <c r="L528" t="s">
        <v>1020</v>
      </c>
      <c r="M528">
        <v>59</v>
      </c>
      <c r="N528" t="s">
        <v>1030</v>
      </c>
    </row>
    <row r="529" spans="1:14" x14ac:dyDescent="0.3">
      <c r="A529" t="s">
        <v>541</v>
      </c>
      <c r="B529" t="s">
        <v>1037</v>
      </c>
      <c r="C529" t="s">
        <v>1035</v>
      </c>
      <c r="D529" s="1">
        <v>45870</v>
      </c>
      <c r="E529" s="1">
        <v>45872</v>
      </c>
      <c r="F529" t="s">
        <v>1016</v>
      </c>
      <c r="G529" t="s">
        <v>1023</v>
      </c>
      <c r="H529" t="s">
        <v>1016</v>
      </c>
      <c r="I529" t="s">
        <v>1018</v>
      </c>
      <c r="J529" t="s">
        <v>1027</v>
      </c>
      <c r="K529">
        <v>0</v>
      </c>
      <c r="L529" t="s">
        <v>1028</v>
      </c>
      <c r="M529">
        <v>40</v>
      </c>
      <c r="N529" t="s">
        <v>1025</v>
      </c>
    </row>
    <row r="530" spans="1:14" x14ac:dyDescent="0.3">
      <c r="A530" t="s">
        <v>542</v>
      </c>
      <c r="B530" t="s">
        <v>1029</v>
      </c>
      <c r="C530" t="s">
        <v>1031</v>
      </c>
      <c r="D530" s="1">
        <v>45750</v>
      </c>
      <c r="E530" s="1">
        <v>45792</v>
      </c>
      <c r="F530" t="s">
        <v>1018</v>
      </c>
      <c r="G530" t="s">
        <v>1023</v>
      </c>
      <c r="H530" t="s">
        <v>1016</v>
      </c>
      <c r="I530" t="s">
        <v>1018</v>
      </c>
      <c r="J530" t="s">
        <v>1027</v>
      </c>
      <c r="K530">
        <v>0</v>
      </c>
      <c r="L530" t="s">
        <v>1028</v>
      </c>
      <c r="M530">
        <v>81</v>
      </c>
      <c r="N530" t="s">
        <v>1025</v>
      </c>
    </row>
    <row r="531" spans="1:14" x14ac:dyDescent="0.3">
      <c r="A531" t="s">
        <v>543</v>
      </c>
      <c r="B531" t="s">
        <v>1034</v>
      </c>
      <c r="C531" t="s">
        <v>1035</v>
      </c>
      <c r="D531" s="1">
        <v>45725</v>
      </c>
      <c r="E531" s="1">
        <v>45750</v>
      </c>
      <c r="F531" t="s">
        <v>1016</v>
      </c>
      <c r="G531" t="s">
        <v>1027</v>
      </c>
      <c r="H531" t="s">
        <v>1018</v>
      </c>
      <c r="I531" t="s">
        <v>1018</v>
      </c>
      <c r="J531" t="s">
        <v>1027</v>
      </c>
      <c r="K531">
        <v>0</v>
      </c>
      <c r="L531" t="s">
        <v>1028</v>
      </c>
      <c r="M531">
        <v>48</v>
      </c>
      <c r="N531" t="s">
        <v>1036</v>
      </c>
    </row>
    <row r="532" spans="1:14" x14ac:dyDescent="0.3">
      <c r="A532" t="s">
        <v>544</v>
      </c>
      <c r="B532" t="s">
        <v>1026</v>
      </c>
      <c r="C532" t="s">
        <v>1022</v>
      </c>
      <c r="D532" s="1">
        <v>46011</v>
      </c>
      <c r="E532" s="1">
        <v>46053</v>
      </c>
      <c r="F532" t="s">
        <v>1018</v>
      </c>
      <c r="G532" t="s">
        <v>1027</v>
      </c>
      <c r="H532" t="s">
        <v>1018</v>
      </c>
      <c r="I532" t="s">
        <v>1018</v>
      </c>
      <c r="J532" t="s">
        <v>1027</v>
      </c>
      <c r="K532">
        <v>0</v>
      </c>
      <c r="L532" t="s">
        <v>1028</v>
      </c>
      <c r="M532">
        <v>56</v>
      </c>
      <c r="N532" t="s">
        <v>1025</v>
      </c>
    </row>
    <row r="533" spans="1:14" x14ac:dyDescent="0.3">
      <c r="A533" t="s">
        <v>545</v>
      </c>
      <c r="B533" t="s">
        <v>1032</v>
      </c>
      <c r="C533" t="s">
        <v>1035</v>
      </c>
      <c r="D533" s="1">
        <v>45986</v>
      </c>
      <c r="E533" s="1">
        <v>46028</v>
      </c>
      <c r="F533" t="s">
        <v>1018</v>
      </c>
      <c r="G533" t="s">
        <v>1017</v>
      </c>
      <c r="H533" t="s">
        <v>1018</v>
      </c>
      <c r="I533" t="s">
        <v>1018</v>
      </c>
      <c r="J533" t="s">
        <v>1019</v>
      </c>
      <c r="K533">
        <v>148468</v>
      </c>
      <c r="L533" t="s">
        <v>1020</v>
      </c>
      <c r="M533">
        <v>61</v>
      </c>
      <c r="N533" t="s">
        <v>1030</v>
      </c>
    </row>
    <row r="534" spans="1:14" x14ac:dyDescent="0.3">
      <c r="A534" t="s">
        <v>546</v>
      </c>
      <c r="B534" t="s">
        <v>1014</v>
      </c>
      <c r="C534" t="s">
        <v>1033</v>
      </c>
      <c r="D534" s="1">
        <v>45851</v>
      </c>
      <c r="E534" s="1">
        <v>45888</v>
      </c>
      <c r="F534" t="s">
        <v>1018</v>
      </c>
      <c r="G534" t="s">
        <v>1017</v>
      </c>
      <c r="H534" t="s">
        <v>1018</v>
      </c>
      <c r="I534" t="s">
        <v>1018</v>
      </c>
      <c r="J534" t="s">
        <v>1019</v>
      </c>
      <c r="K534">
        <v>61223</v>
      </c>
      <c r="L534" t="s">
        <v>1020</v>
      </c>
      <c r="M534">
        <v>57</v>
      </c>
      <c r="N534" t="s">
        <v>1025</v>
      </c>
    </row>
    <row r="535" spans="1:14" x14ac:dyDescent="0.3">
      <c r="A535" t="s">
        <v>547</v>
      </c>
      <c r="B535" t="s">
        <v>1037</v>
      </c>
      <c r="C535" t="s">
        <v>1035</v>
      </c>
      <c r="D535" s="1">
        <v>45947</v>
      </c>
      <c r="E535" s="1">
        <v>45959</v>
      </c>
      <c r="F535" t="s">
        <v>1016</v>
      </c>
      <c r="G535" t="s">
        <v>1023</v>
      </c>
      <c r="H535" t="s">
        <v>1016</v>
      </c>
      <c r="I535" t="s">
        <v>1016</v>
      </c>
      <c r="J535" t="s">
        <v>1019</v>
      </c>
      <c r="K535">
        <v>194656</v>
      </c>
      <c r="L535" t="s">
        <v>1020</v>
      </c>
      <c r="M535">
        <v>36</v>
      </c>
      <c r="N535" t="s">
        <v>1021</v>
      </c>
    </row>
    <row r="536" spans="1:14" x14ac:dyDescent="0.3">
      <c r="A536" t="s">
        <v>548</v>
      </c>
      <c r="B536" t="s">
        <v>1032</v>
      </c>
      <c r="C536" t="s">
        <v>1035</v>
      </c>
      <c r="D536" s="1">
        <v>45890</v>
      </c>
      <c r="E536" s="1">
        <v>45895</v>
      </c>
      <c r="F536" t="s">
        <v>1016</v>
      </c>
      <c r="G536" t="s">
        <v>1023</v>
      </c>
      <c r="H536" t="s">
        <v>1016</v>
      </c>
      <c r="I536" t="s">
        <v>1016</v>
      </c>
      <c r="J536" t="s">
        <v>1019</v>
      </c>
      <c r="K536">
        <v>96203</v>
      </c>
      <c r="L536" t="s">
        <v>1020</v>
      </c>
      <c r="M536">
        <v>27</v>
      </c>
      <c r="N536" t="s">
        <v>1036</v>
      </c>
    </row>
    <row r="537" spans="1:14" x14ac:dyDescent="0.3">
      <c r="A537" t="s">
        <v>549</v>
      </c>
      <c r="B537" t="s">
        <v>1026</v>
      </c>
      <c r="C537" t="s">
        <v>1015</v>
      </c>
      <c r="D537" s="1">
        <v>45670</v>
      </c>
      <c r="E537" s="1">
        <v>45693</v>
      </c>
      <c r="F537" t="s">
        <v>1016</v>
      </c>
      <c r="G537" t="s">
        <v>1027</v>
      </c>
      <c r="H537" t="s">
        <v>1018</v>
      </c>
      <c r="I537" t="s">
        <v>1018</v>
      </c>
      <c r="J537" t="s">
        <v>1027</v>
      </c>
      <c r="K537">
        <v>0</v>
      </c>
      <c r="L537" t="s">
        <v>1028</v>
      </c>
      <c r="M537">
        <v>39</v>
      </c>
      <c r="N537" t="s">
        <v>1021</v>
      </c>
    </row>
    <row r="538" spans="1:14" x14ac:dyDescent="0.3">
      <c r="A538" t="s">
        <v>550</v>
      </c>
      <c r="B538" t="s">
        <v>1026</v>
      </c>
      <c r="C538" t="s">
        <v>1035</v>
      </c>
      <c r="D538" s="1">
        <v>45911</v>
      </c>
      <c r="E538" s="1">
        <v>45919</v>
      </c>
      <c r="F538" t="s">
        <v>1016</v>
      </c>
      <c r="G538" t="s">
        <v>1023</v>
      </c>
      <c r="H538" t="s">
        <v>1016</v>
      </c>
      <c r="I538" t="s">
        <v>1016</v>
      </c>
      <c r="J538" t="s">
        <v>1019</v>
      </c>
      <c r="K538">
        <v>187699</v>
      </c>
      <c r="L538" t="s">
        <v>1024</v>
      </c>
      <c r="M538">
        <v>25</v>
      </c>
      <c r="N538" t="s">
        <v>1030</v>
      </c>
    </row>
    <row r="539" spans="1:14" x14ac:dyDescent="0.3">
      <c r="A539" t="s">
        <v>551</v>
      </c>
      <c r="B539" t="s">
        <v>1034</v>
      </c>
      <c r="C539" t="s">
        <v>1033</v>
      </c>
      <c r="D539" s="1">
        <v>45887</v>
      </c>
      <c r="E539" s="1">
        <v>45893</v>
      </c>
      <c r="F539" t="s">
        <v>1016</v>
      </c>
      <c r="G539" t="s">
        <v>1023</v>
      </c>
      <c r="H539" t="s">
        <v>1016</v>
      </c>
      <c r="I539" t="s">
        <v>1016</v>
      </c>
      <c r="J539" t="s">
        <v>1019</v>
      </c>
      <c r="K539">
        <v>124590</v>
      </c>
      <c r="L539" t="s">
        <v>1020</v>
      </c>
      <c r="M539">
        <v>46</v>
      </c>
      <c r="N539" t="s">
        <v>1025</v>
      </c>
    </row>
    <row r="540" spans="1:14" x14ac:dyDescent="0.3">
      <c r="A540" t="s">
        <v>552</v>
      </c>
      <c r="B540" t="s">
        <v>1026</v>
      </c>
      <c r="C540" t="s">
        <v>1015</v>
      </c>
      <c r="D540" s="1">
        <v>45845</v>
      </c>
      <c r="E540" s="1">
        <v>45858</v>
      </c>
      <c r="F540" t="s">
        <v>1016</v>
      </c>
      <c r="G540" t="s">
        <v>1027</v>
      </c>
      <c r="H540" t="s">
        <v>1018</v>
      </c>
      <c r="I540" t="s">
        <v>1018</v>
      </c>
      <c r="J540" t="s">
        <v>1027</v>
      </c>
      <c r="K540">
        <v>0</v>
      </c>
      <c r="L540" t="s">
        <v>1028</v>
      </c>
      <c r="M540">
        <v>27</v>
      </c>
      <c r="N540" t="s">
        <v>1030</v>
      </c>
    </row>
    <row r="541" spans="1:14" x14ac:dyDescent="0.3">
      <c r="A541" t="s">
        <v>553</v>
      </c>
      <c r="B541" t="s">
        <v>1014</v>
      </c>
      <c r="C541" t="s">
        <v>1033</v>
      </c>
      <c r="D541" s="1">
        <v>45722</v>
      </c>
      <c r="E541" s="1">
        <v>45731</v>
      </c>
      <c r="F541" t="s">
        <v>1016</v>
      </c>
      <c r="G541" t="s">
        <v>1027</v>
      </c>
      <c r="H541" t="s">
        <v>1018</v>
      </c>
      <c r="I541" t="s">
        <v>1018</v>
      </c>
      <c r="J541" t="s">
        <v>1027</v>
      </c>
      <c r="K541">
        <v>0</v>
      </c>
      <c r="L541" t="s">
        <v>1028</v>
      </c>
      <c r="M541">
        <v>19</v>
      </c>
      <c r="N541" t="s">
        <v>1025</v>
      </c>
    </row>
    <row r="542" spans="1:14" x14ac:dyDescent="0.3">
      <c r="A542" t="s">
        <v>554</v>
      </c>
      <c r="B542" t="s">
        <v>1014</v>
      </c>
      <c r="C542" t="s">
        <v>1022</v>
      </c>
      <c r="D542" s="1">
        <v>45945</v>
      </c>
      <c r="E542" s="1">
        <v>45967</v>
      </c>
      <c r="F542" t="s">
        <v>1016</v>
      </c>
      <c r="G542" t="s">
        <v>1023</v>
      </c>
      <c r="H542" t="s">
        <v>1016</v>
      </c>
      <c r="I542" t="s">
        <v>1016</v>
      </c>
      <c r="J542" t="s">
        <v>1019</v>
      </c>
      <c r="K542">
        <v>76656</v>
      </c>
      <c r="L542" t="s">
        <v>1020</v>
      </c>
      <c r="M542">
        <v>27</v>
      </c>
      <c r="N542" t="s">
        <v>1025</v>
      </c>
    </row>
    <row r="543" spans="1:14" x14ac:dyDescent="0.3">
      <c r="A543" t="s">
        <v>555</v>
      </c>
      <c r="B543" t="s">
        <v>1032</v>
      </c>
      <c r="C543" t="s">
        <v>1033</v>
      </c>
      <c r="D543" s="1">
        <v>45800</v>
      </c>
      <c r="E543" s="1">
        <v>45821</v>
      </c>
      <c r="F543" t="s">
        <v>1016</v>
      </c>
      <c r="G543" t="s">
        <v>1017</v>
      </c>
      <c r="H543" t="s">
        <v>1018</v>
      </c>
      <c r="I543" t="s">
        <v>1018</v>
      </c>
      <c r="J543" t="s">
        <v>1019</v>
      </c>
      <c r="K543">
        <v>123690</v>
      </c>
      <c r="L543" t="s">
        <v>1020</v>
      </c>
      <c r="M543">
        <v>39</v>
      </c>
      <c r="N543" t="s">
        <v>1030</v>
      </c>
    </row>
    <row r="544" spans="1:14" x14ac:dyDescent="0.3">
      <c r="A544" t="s">
        <v>556</v>
      </c>
      <c r="B544" t="s">
        <v>1029</v>
      </c>
      <c r="C544" t="s">
        <v>1015</v>
      </c>
      <c r="D544" s="1">
        <v>45856</v>
      </c>
      <c r="E544" s="1">
        <v>45873</v>
      </c>
      <c r="F544" t="s">
        <v>1016</v>
      </c>
      <c r="G544" t="s">
        <v>1023</v>
      </c>
      <c r="H544" t="s">
        <v>1016</v>
      </c>
      <c r="I544" t="s">
        <v>1016</v>
      </c>
      <c r="J544" t="s">
        <v>1019</v>
      </c>
      <c r="K544">
        <v>166262</v>
      </c>
      <c r="L544" t="s">
        <v>1024</v>
      </c>
      <c r="M544">
        <v>25</v>
      </c>
      <c r="N544" t="s">
        <v>1021</v>
      </c>
    </row>
    <row r="545" spans="1:14" x14ac:dyDescent="0.3">
      <c r="A545" t="s">
        <v>557</v>
      </c>
      <c r="B545" t="s">
        <v>1014</v>
      </c>
      <c r="C545" t="s">
        <v>1031</v>
      </c>
      <c r="D545" s="1">
        <v>45881</v>
      </c>
      <c r="E545" s="1">
        <v>45904</v>
      </c>
      <c r="F545" t="s">
        <v>1016</v>
      </c>
      <c r="G545" t="s">
        <v>1023</v>
      </c>
      <c r="H545" t="s">
        <v>1016</v>
      </c>
      <c r="I545" t="s">
        <v>1016</v>
      </c>
      <c r="J545" t="s">
        <v>1019</v>
      </c>
      <c r="K545">
        <v>150105</v>
      </c>
      <c r="L545" t="s">
        <v>1020</v>
      </c>
      <c r="M545">
        <v>29</v>
      </c>
      <c r="N545" t="s">
        <v>1025</v>
      </c>
    </row>
    <row r="546" spans="1:14" x14ac:dyDescent="0.3">
      <c r="A546" t="s">
        <v>558</v>
      </c>
      <c r="B546" t="s">
        <v>1037</v>
      </c>
      <c r="C546" t="s">
        <v>1031</v>
      </c>
      <c r="D546" s="1">
        <v>45721</v>
      </c>
      <c r="E546" s="1">
        <v>45727</v>
      </c>
      <c r="F546" t="s">
        <v>1016</v>
      </c>
      <c r="G546" t="s">
        <v>1017</v>
      </c>
      <c r="H546" t="s">
        <v>1018</v>
      </c>
      <c r="I546" t="s">
        <v>1018</v>
      </c>
      <c r="J546" t="s">
        <v>1019</v>
      </c>
      <c r="K546">
        <v>101043</v>
      </c>
      <c r="L546" t="s">
        <v>1020</v>
      </c>
      <c r="M546">
        <v>40</v>
      </c>
      <c r="N546" t="s">
        <v>1036</v>
      </c>
    </row>
    <row r="547" spans="1:14" x14ac:dyDescent="0.3">
      <c r="A547" t="s">
        <v>559</v>
      </c>
      <c r="B547" t="s">
        <v>1034</v>
      </c>
      <c r="C547" t="s">
        <v>1035</v>
      </c>
      <c r="D547" s="1">
        <v>45857</v>
      </c>
      <c r="E547" s="1">
        <v>45877</v>
      </c>
      <c r="F547" t="s">
        <v>1016</v>
      </c>
      <c r="G547" t="s">
        <v>1023</v>
      </c>
      <c r="H547" t="s">
        <v>1016</v>
      </c>
      <c r="I547" t="s">
        <v>1016</v>
      </c>
      <c r="J547" t="s">
        <v>1019</v>
      </c>
      <c r="K547">
        <v>170257</v>
      </c>
      <c r="L547" t="s">
        <v>1020</v>
      </c>
      <c r="M547">
        <v>33</v>
      </c>
      <c r="N547" t="s">
        <v>1036</v>
      </c>
    </row>
    <row r="548" spans="1:14" x14ac:dyDescent="0.3">
      <c r="A548" t="s">
        <v>560</v>
      </c>
      <c r="B548" t="s">
        <v>1034</v>
      </c>
      <c r="C548" t="s">
        <v>1022</v>
      </c>
      <c r="D548" s="1">
        <v>45923</v>
      </c>
      <c r="E548" s="1">
        <v>45962</v>
      </c>
      <c r="F548" t="s">
        <v>1018</v>
      </c>
      <c r="G548" t="s">
        <v>1023</v>
      </c>
      <c r="H548" t="s">
        <v>1016</v>
      </c>
      <c r="I548" t="s">
        <v>1016</v>
      </c>
      <c r="J548" t="s">
        <v>1019</v>
      </c>
      <c r="K548">
        <v>156643</v>
      </c>
      <c r="L548" t="s">
        <v>1020</v>
      </c>
      <c r="M548">
        <v>47</v>
      </c>
      <c r="N548" t="s">
        <v>1021</v>
      </c>
    </row>
    <row r="549" spans="1:14" x14ac:dyDescent="0.3">
      <c r="A549" t="s">
        <v>561</v>
      </c>
      <c r="B549" t="s">
        <v>1032</v>
      </c>
      <c r="C549" t="s">
        <v>1015</v>
      </c>
      <c r="D549" s="1">
        <v>45759</v>
      </c>
      <c r="E549" s="1">
        <v>45764</v>
      </c>
      <c r="F549" t="s">
        <v>1016</v>
      </c>
      <c r="G549" t="s">
        <v>1023</v>
      </c>
      <c r="H549" t="s">
        <v>1016</v>
      </c>
      <c r="I549" t="s">
        <v>1016</v>
      </c>
      <c r="J549" t="s">
        <v>1019</v>
      </c>
      <c r="K549">
        <v>63403</v>
      </c>
      <c r="L549" t="s">
        <v>1020</v>
      </c>
      <c r="M549">
        <v>27</v>
      </c>
      <c r="N549" t="s">
        <v>1021</v>
      </c>
    </row>
    <row r="550" spans="1:14" x14ac:dyDescent="0.3">
      <c r="A550" t="s">
        <v>562</v>
      </c>
      <c r="B550" t="s">
        <v>1032</v>
      </c>
      <c r="C550" t="s">
        <v>1022</v>
      </c>
      <c r="D550" s="1">
        <v>45726</v>
      </c>
      <c r="E550" s="1">
        <v>45763</v>
      </c>
      <c r="F550" t="s">
        <v>1018</v>
      </c>
      <c r="G550" t="s">
        <v>1023</v>
      </c>
      <c r="H550" t="s">
        <v>1016</v>
      </c>
      <c r="I550" t="s">
        <v>1018</v>
      </c>
      <c r="J550" t="s">
        <v>1027</v>
      </c>
      <c r="K550">
        <v>0</v>
      </c>
      <c r="L550" t="s">
        <v>1028</v>
      </c>
      <c r="M550">
        <v>74</v>
      </c>
      <c r="N550" t="s">
        <v>1021</v>
      </c>
    </row>
    <row r="551" spans="1:14" x14ac:dyDescent="0.3">
      <c r="A551" t="s">
        <v>563</v>
      </c>
      <c r="B551" t="s">
        <v>1014</v>
      </c>
      <c r="C551" t="s">
        <v>1015</v>
      </c>
      <c r="D551" s="1">
        <v>45692</v>
      </c>
      <c r="E551" s="1">
        <v>45707</v>
      </c>
      <c r="F551" t="s">
        <v>1016</v>
      </c>
      <c r="G551" t="s">
        <v>1017</v>
      </c>
      <c r="H551" t="s">
        <v>1018</v>
      </c>
      <c r="I551" t="s">
        <v>1018</v>
      </c>
      <c r="J551" t="s">
        <v>1019</v>
      </c>
      <c r="K551">
        <v>179738</v>
      </c>
      <c r="L551" t="s">
        <v>1020</v>
      </c>
      <c r="M551">
        <v>48</v>
      </c>
      <c r="N551" t="s">
        <v>1025</v>
      </c>
    </row>
    <row r="552" spans="1:14" x14ac:dyDescent="0.3">
      <c r="A552" t="s">
        <v>564</v>
      </c>
      <c r="B552" t="s">
        <v>1037</v>
      </c>
      <c r="C552" t="s">
        <v>1022</v>
      </c>
      <c r="D552" s="1">
        <v>45673</v>
      </c>
      <c r="E552" s="1">
        <v>45716</v>
      </c>
      <c r="F552" t="s">
        <v>1018</v>
      </c>
      <c r="G552" t="s">
        <v>1017</v>
      </c>
      <c r="H552" t="s">
        <v>1018</v>
      </c>
      <c r="I552" t="s">
        <v>1018</v>
      </c>
      <c r="J552" t="s">
        <v>1019</v>
      </c>
      <c r="K552">
        <v>54290</v>
      </c>
      <c r="L552" t="s">
        <v>1020</v>
      </c>
      <c r="M552">
        <v>52</v>
      </c>
      <c r="N552" t="s">
        <v>1025</v>
      </c>
    </row>
    <row r="553" spans="1:14" x14ac:dyDescent="0.3">
      <c r="A553" t="s">
        <v>565</v>
      </c>
      <c r="B553" t="s">
        <v>1029</v>
      </c>
      <c r="C553" t="s">
        <v>1033</v>
      </c>
      <c r="D553" s="1">
        <v>45896</v>
      </c>
      <c r="E553" s="1">
        <v>45912</v>
      </c>
      <c r="F553" t="s">
        <v>1016</v>
      </c>
      <c r="G553" t="s">
        <v>1017</v>
      </c>
      <c r="H553" t="s">
        <v>1018</v>
      </c>
      <c r="I553" t="s">
        <v>1018</v>
      </c>
      <c r="J553" t="s">
        <v>1019</v>
      </c>
      <c r="K553">
        <v>115396</v>
      </c>
      <c r="L553" t="s">
        <v>1020</v>
      </c>
      <c r="M553">
        <v>53</v>
      </c>
      <c r="N553" t="s">
        <v>1025</v>
      </c>
    </row>
    <row r="554" spans="1:14" x14ac:dyDescent="0.3">
      <c r="A554" t="s">
        <v>566</v>
      </c>
      <c r="B554" t="s">
        <v>1029</v>
      </c>
      <c r="C554" t="s">
        <v>1022</v>
      </c>
      <c r="D554" s="1">
        <v>45662</v>
      </c>
      <c r="E554" s="1">
        <v>45705</v>
      </c>
      <c r="F554" t="s">
        <v>1018</v>
      </c>
      <c r="G554" t="s">
        <v>1017</v>
      </c>
      <c r="H554" t="s">
        <v>1018</v>
      </c>
      <c r="I554" t="s">
        <v>1018</v>
      </c>
      <c r="J554" t="s">
        <v>1019</v>
      </c>
      <c r="K554">
        <v>186305</v>
      </c>
      <c r="L554" t="s">
        <v>1024</v>
      </c>
      <c r="M554">
        <v>56</v>
      </c>
      <c r="N554" t="s">
        <v>1030</v>
      </c>
    </row>
    <row r="555" spans="1:14" x14ac:dyDescent="0.3">
      <c r="A555" t="s">
        <v>567</v>
      </c>
      <c r="B555" t="s">
        <v>1029</v>
      </c>
      <c r="C555" t="s">
        <v>1022</v>
      </c>
      <c r="D555" s="1">
        <v>45908</v>
      </c>
      <c r="E555" s="1">
        <v>45939</v>
      </c>
      <c r="F555" t="s">
        <v>1018</v>
      </c>
      <c r="G555" t="s">
        <v>1023</v>
      </c>
      <c r="H555" t="s">
        <v>1016</v>
      </c>
      <c r="I555" t="s">
        <v>1016</v>
      </c>
      <c r="J555" t="s">
        <v>1019</v>
      </c>
      <c r="K555">
        <v>174613</v>
      </c>
      <c r="L555" t="s">
        <v>1020</v>
      </c>
      <c r="M555">
        <v>55</v>
      </c>
      <c r="N555" t="s">
        <v>1025</v>
      </c>
    </row>
    <row r="556" spans="1:14" x14ac:dyDescent="0.3">
      <c r="A556" t="s">
        <v>568</v>
      </c>
      <c r="B556" t="s">
        <v>1026</v>
      </c>
      <c r="C556" t="s">
        <v>1022</v>
      </c>
      <c r="D556" s="1">
        <v>45763</v>
      </c>
      <c r="E556" s="1">
        <v>45768</v>
      </c>
      <c r="F556" t="s">
        <v>1016</v>
      </c>
      <c r="G556" t="s">
        <v>1023</v>
      </c>
      <c r="H556" t="s">
        <v>1016</v>
      </c>
      <c r="I556" t="s">
        <v>1016</v>
      </c>
      <c r="J556" t="s">
        <v>1019</v>
      </c>
      <c r="K556">
        <v>189221</v>
      </c>
      <c r="L556" t="s">
        <v>1020</v>
      </c>
      <c r="M556">
        <v>40</v>
      </c>
      <c r="N556" t="s">
        <v>1025</v>
      </c>
    </row>
    <row r="557" spans="1:14" x14ac:dyDescent="0.3">
      <c r="A557" t="s">
        <v>569</v>
      </c>
      <c r="B557" t="s">
        <v>1034</v>
      </c>
      <c r="C557" t="s">
        <v>1022</v>
      </c>
      <c r="D557" s="1">
        <v>45793</v>
      </c>
      <c r="E557" s="1">
        <v>45806</v>
      </c>
      <c r="F557" t="s">
        <v>1016</v>
      </c>
      <c r="G557" t="s">
        <v>1027</v>
      </c>
      <c r="H557" t="s">
        <v>1018</v>
      </c>
      <c r="I557" t="s">
        <v>1018</v>
      </c>
      <c r="J557" t="s">
        <v>1027</v>
      </c>
      <c r="K557">
        <v>0</v>
      </c>
      <c r="L557" t="s">
        <v>1028</v>
      </c>
      <c r="M557">
        <v>38</v>
      </c>
      <c r="N557" t="s">
        <v>1025</v>
      </c>
    </row>
    <row r="558" spans="1:14" x14ac:dyDescent="0.3">
      <c r="A558" t="s">
        <v>570</v>
      </c>
      <c r="B558" t="s">
        <v>1026</v>
      </c>
      <c r="C558" t="s">
        <v>1031</v>
      </c>
      <c r="D558" s="1">
        <v>45817</v>
      </c>
      <c r="E558" s="1">
        <v>45818</v>
      </c>
      <c r="F558" t="s">
        <v>1016</v>
      </c>
      <c r="G558" t="s">
        <v>1027</v>
      </c>
      <c r="H558" t="s">
        <v>1018</v>
      </c>
      <c r="I558" t="s">
        <v>1018</v>
      </c>
      <c r="J558" t="s">
        <v>1027</v>
      </c>
      <c r="K558">
        <v>0</v>
      </c>
      <c r="L558" t="s">
        <v>1028</v>
      </c>
      <c r="M558">
        <v>36</v>
      </c>
      <c r="N558" t="s">
        <v>1021</v>
      </c>
    </row>
    <row r="559" spans="1:14" x14ac:dyDescent="0.3">
      <c r="A559" t="s">
        <v>571</v>
      </c>
      <c r="B559" t="s">
        <v>1029</v>
      </c>
      <c r="C559" t="s">
        <v>1033</v>
      </c>
      <c r="D559" s="1">
        <v>45873</v>
      </c>
      <c r="E559" s="1">
        <v>45888</v>
      </c>
      <c r="F559" t="s">
        <v>1016</v>
      </c>
      <c r="G559" t="s">
        <v>1017</v>
      </c>
      <c r="H559" t="s">
        <v>1018</v>
      </c>
      <c r="I559" t="s">
        <v>1018</v>
      </c>
      <c r="J559" t="s">
        <v>1019</v>
      </c>
      <c r="K559">
        <v>152628</v>
      </c>
      <c r="L559" t="s">
        <v>1020</v>
      </c>
      <c r="M559">
        <v>52</v>
      </c>
      <c r="N559" t="s">
        <v>1030</v>
      </c>
    </row>
    <row r="560" spans="1:14" x14ac:dyDescent="0.3">
      <c r="A560" t="s">
        <v>572</v>
      </c>
      <c r="B560" t="s">
        <v>1014</v>
      </c>
      <c r="C560" t="s">
        <v>1015</v>
      </c>
      <c r="D560" s="1">
        <v>45920</v>
      </c>
      <c r="E560" s="1">
        <v>45934</v>
      </c>
      <c r="F560" t="s">
        <v>1016</v>
      </c>
      <c r="G560" t="s">
        <v>1017</v>
      </c>
      <c r="H560" t="s">
        <v>1018</v>
      </c>
      <c r="I560" t="s">
        <v>1018</v>
      </c>
      <c r="J560" t="s">
        <v>1019</v>
      </c>
      <c r="K560">
        <v>141361</v>
      </c>
      <c r="L560" t="s">
        <v>1024</v>
      </c>
      <c r="M560">
        <v>34</v>
      </c>
      <c r="N560" t="s">
        <v>1036</v>
      </c>
    </row>
    <row r="561" spans="1:14" x14ac:dyDescent="0.3">
      <c r="A561" t="s">
        <v>573</v>
      </c>
      <c r="B561" t="s">
        <v>1034</v>
      </c>
      <c r="C561" t="s">
        <v>1015</v>
      </c>
      <c r="D561" s="1">
        <v>46017</v>
      </c>
      <c r="E561" s="1">
        <v>46034</v>
      </c>
      <c r="F561" t="s">
        <v>1016</v>
      </c>
      <c r="G561" t="s">
        <v>1023</v>
      </c>
      <c r="H561" t="s">
        <v>1016</v>
      </c>
      <c r="I561" t="s">
        <v>1016</v>
      </c>
      <c r="J561" t="s">
        <v>1019</v>
      </c>
      <c r="K561">
        <v>82193</v>
      </c>
      <c r="L561" t="s">
        <v>1020</v>
      </c>
      <c r="M561">
        <v>47</v>
      </c>
      <c r="N561" t="s">
        <v>1036</v>
      </c>
    </row>
    <row r="562" spans="1:14" x14ac:dyDescent="0.3">
      <c r="A562" t="s">
        <v>574</v>
      </c>
      <c r="B562" t="s">
        <v>1037</v>
      </c>
      <c r="C562" t="s">
        <v>1033</v>
      </c>
      <c r="D562" s="1">
        <v>45917</v>
      </c>
      <c r="E562" s="1">
        <v>45933</v>
      </c>
      <c r="F562" t="s">
        <v>1016</v>
      </c>
      <c r="G562" t="s">
        <v>1027</v>
      </c>
      <c r="H562" t="s">
        <v>1018</v>
      </c>
      <c r="I562" t="s">
        <v>1018</v>
      </c>
      <c r="J562" t="s">
        <v>1027</v>
      </c>
      <c r="K562">
        <v>0</v>
      </c>
      <c r="L562" t="s">
        <v>1028</v>
      </c>
      <c r="M562">
        <v>28</v>
      </c>
      <c r="N562" t="s">
        <v>1021</v>
      </c>
    </row>
    <row r="563" spans="1:14" x14ac:dyDescent="0.3">
      <c r="A563" t="s">
        <v>575</v>
      </c>
      <c r="B563" t="s">
        <v>1029</v>
      </c>
      <c r="C563" t="s">
        <v>1031</v>
      </c>
      <c r="D563" s="1">
        <v>45665</v>
      </c>
      <c r="E563" s="1">
        <v>45674</v>
      </c>
      <c r="F563" t="s">
        <v>1016</v>
      </c>
      <c r="G563" t="s">
        <v>1023</v>
      </c>
      <c r="H563" t="s">
        <v>1016</v>
      </c>
      <c r="I563" t="s">
        <v>1016</v>
      </c>
      <c r="J563" t="s">
        <v>1019</v>
      </c>
      <c r="K563">
        <v>51142</v>
      </c>
      <c r="L563" t="s">
        <v>1024</v>
      </c>
      <c r="M563">
        <v>29</v>
      </c>
      <c r="N563" t="s">
        <v>1025</v>
      </c>
    </row>
    <row r="564" spans="1:14" x14ac:dyDescent="0.3">
      <c r="A564" t="s">
        <v>576</v>
      </c>
      <c r="B564" t="s">
        <v>1032</v>
      </c>
      <c r="C564" t="s">
        <v>1035</v>
      </c>
      <c r="D564" s="1">
        <v>45829</v>
      </c>
      <c r="E564" s="1">
        <v>45863</v>
      </c>
      <c r="F564" t="s">
        <v>1018</v>
      </c>
      <c r="G564" t="s">
        <v>1023</v>
      </c>
      <c r="H564" t="s">
        <v>1016</v>
      </c>
      <c r="I564" t="s">
        <v>1016</v>
      </c>
      <c r="J564" t="s">
        <v>1019</v>
      </c>
      <c r="K564">
        <v>54928</v>
      </c>
      <c r="L564" t="s">
        <v>1020</v>
      </c>
      <c r="M564">
        <v>58</v>
      </c>
      <c r="N564" t="s">
        <v>1025</v>
      </c>
    </row>
    <row r="565" spans="1:14" x14ac:dyDescent="0.3">
      <c r="A565" t="s">
        <v>577</v>
      </c>
      <c r="B565" t="s">
        <v>1032</v>
      </c>
      <c r="C565" t="s">
        <v>1035</v>
      </c>
      <c r="D565" s="1">
        <v>45937</v>
      </c>
      <c r="E565" s="1">
        <v>45965</v>
      </c>
      <c r="F565" t="s">
        <v>1016</v>
      </c>
      <c r="G565" t="s">
        <v>1017</v>
      </c>
      <c r="H565" t="s">
        <v>1018</v>
      </c>
      <c r="I565" t="s">
        <v>1018</v>
      </c>
      <c r="J565" t="s">
        <v>1019</v>
      </c>
      <c r="K565">
        <v>164290</v>
      </c>
      <c r="L565" t="s">
        <v>1020</v>
      </c>
      <c r="M565">
        <v>35</v>
      </c>
      <c r="N565" t="s">
        <v>1036</v>
      </c>
    </row>
    <row r="566" spans="1:14" x14ac:dyDescent="0.3">
      <c r="A566" t="s">
        <v>578</v>
      </c>
      <c r="B566" t="s">
        <v>1032</v>
      </c>
      <c r="C566" t="s">
        <v>1035</v>
      </c>
      <c r="D566" s="1">
        <v>45755</v>
      </c>
      <c r="E566" s="1">
        <v>45762</v>
      </c>
      <c r="F566" t="s">
        <v>1016</v>
      </c>
      <c r="G566" t="s">
        <v>1023</v>
      </c>
      <c r="H566" t="s">
        <v>1016</v>
      </c>
      <c r="I566" t="s">
        <v>1016</v>
      </c>
      <c r="J566" t="s">
        <v>1019</v>
      </c>
      <c r="K566">
        <v>186016</v>
      </c>
      <c r="L566" t="s">
        <v>1020</v>
      </c>
      <c r="M566">
        <v>15</v>
      </c>
      <c r="N566" t="s">
        <v>1030</v>
      </c>
    </row>
    <row r="567" spans="1:14" x14ac:dyDescent="0.3">
      <c r="A567" t="s">
        <v>579</v>
      </c>
      <c r="B567" t="s">
        <v>1029</v>
      </c>
      <c r="C567" t="s">
        <v>1033</v>
      </c>
      <c r="D567" s="1">
        <v>45827</v>
      </c>
      <c r="E567" s="1">
        <v>45865</v>
      </c>
      <c r="F567" t="s">
        <v>1018</v>
      </c>
      <c r="G567" t="s">
        <v>1023</v>
      </c>
      <c r="H567" t="s">
        <v>1016</v>
      </c>
      <c r="I567" t="s">
        <v>1016</v>
      </c>
      <c r="J567" t="s">
        <v>1019</v>
      </c>
      <c r="K567">
        <v>126762</v>
      </c>
      <c r="L567" t="s">
        <v>1020</v>
      </c>
      <c r="M567">
        <v>71</v>
      </c>
      <c r="N567" t="s">
        <v>1036</v>
      </c>
    </row>
    <row r="568" spans="1:14" x14ac:dyDescent="0.3">
      <c r="A568" t="s">
        <v>580</v>
      </c>
      <c r="B568" t="s">
        <v>1034</v>
      </c>
      <c r="C568" t="s">
        <v>1022</v>
      </c>
      <c r="D568" s="1">
        <v>45774</v>
      </c>
      <c r="E568" s="1">
        <v>45816</v>
      </c>
      <c r="F568" t="s">
        <v>1018</v>
      </c>
      <c r="G568" t="s">
        <v>1027</v>
      </c>
      <c r="H568" t="s">
        <v>1018</v>
      </c>
      <c r="I568" t="s">
        <v>1018</v>
      </c>
      <c r="J568" t="s">
        <v>1027</v>
      </c>
      <c r="K568">
        <v>0</v>
      </c>
      <c r="L568" t="s">
        <v>1028</v>
      </c>
      <c r="M568">
        <v>61</v>
      </c>
      <c r="N568" t="s">
        <v>1025</v>
      </c>
    </row>
    <row r="569" spans="1:14" x14ac:dyDescent="0.3">
      <c r="A569" t="s">
        <v>581</v>
      </c>
      <c r="B569" t="s">
        <v>1034</v>
      </c>
      <c r="C569" t="s">
        <v>1022</v>
      </c>
      <c r="D569" s="1">
        <v>45764</v>
      </c>
      <c r="E569" s="1">
        <v>45780</v>
      </c>
      <c r="F569" t="s">
        <v>1016</v>
      </c>
      <c r="G569" t="s">
        <v>1017</v>
      </c>
      <c r="H569" t="s">
        <v>1018</v>
      </c>
      <c r="I569" t="s">
        <v>1018</v>
      </c>
      <c r="J569" t="s">
        <v>1019</v>
      </c>
      <c r="K569">
        <v>36954</v>
      </c>
      <c r="L569" t="s">
        <v>1020</v>
      </c>
      <c r="M569">
        <v>33</v>
      </c>
      <c r="N569" t="s">
        <v>1036</v>
      </c>
    </row>
    <row r="570" spans="1:14" x14ac:dyDescent="0.3">
      <c r="A570" t="s">
        <v>582</v>
      </c>
      <c r="B570" t="s">
        <v>1037</v>
      </c>
      <c r="C570" t="s">
        <v>1035</v>
      </c>
      <c r="D570" s="1">
        <v>45674</v>
      </c>
      <c r="E570" s="1">
        <v>45708</v>
      </c>
      <c r="F570" t="s">
        <v>1018</v>
      </c>
      <c r="G570" t="s">
        <v>1017</v>
      </c>
      <c r="H570" t="s">
        <v>1018</v>
      </c>
      <c r="I570" t="s">
        <v>1018</v>
      </c>
      <c r="J570" t="s">
        <v>1019</v>
      </c>
      <c r="K570">
        <v>178259</v>
      </c>
      <c r="L570" t="s">
        <v>1020</v>
      </c>
      <c r="M570">
        <v>71</v>
      </c>
      <c r="N570" t="s">
        <v>1025</v>
      </c>
    </row>
    <row r="571" spans="1:14" x14ac:dyDescent="0.3">
      <c r="A571" t="s">
        <v>583</v>
      </c>
      <c r="B571" t="s">
        <v>1026</v>
      </c>
      <c r="C571" t="s">
        <v>1035</v>
      </c>
      <c r="D571" s="1">
        <v>45768</v>
      </c>
      <c r="E571" s="1">
        <v>45798</v>
      </c>
      <c r="F571" t="s">
        <v>1016</v>
      </c>
      <c r="G571" t="s">
        <v>1023</v>
      </c>
      <c r="H571" t="s">
        <v>1016</v>
      </c>
      <c r="I571" t="s">
        <v>1018</v>
      </c>
      <c r="J571" t="s">
        <v>1027</v>
      </c>
      <c r="K571">
        <v>0</v>
      </c>
      <c r="L571" t="s">
        <v>1028</v>
      </c>
      <c r="M571">
        <v>70</v>
      </c>
      <c r="N571" t="s">
        <v>1025</v>
      </c>
    </row>
    <row r="572" spans="1:14" x14ac:dyDescent="0.3">
      <c r="A572" t="s">
        <v>584</v>
      </c>
      <c r="B572" t="s">
        <v>1029</v>
      </c>
      <c r="C572" t="s">
        <v>1035</v>
      </c>
      <c r="D572" s="1">
        <v>45917</v>
      </c>
      <c r="E572" s="1">
        <v>45923</v>
      </c>
      <c r="F572" t="s">
        <v>1016</v>
      </c>
      <c r="G572" t="s">
        <v>1023</v>
      </c>
      <c r="H572" t="s">
        <v>1016</v>
      </c>
      <c r="I572" t="s">
        <v>1018</v>
      </c>
      <c r="J572" t="s">
        <v>1027</v>
      </c>
      <c r="K572">
        <v>0</v>
      </c>
      <c r="L572" t="s">
        <v>1028</v>
      </c>
      <c r="M572">
        <v>33</v>
      </c>
      <c r="N572" t="s">
        <v>1021</v>
      </c>
    </row>
    <row r="573" spans="1:14" x14ac:dyDescent="0.3">
      <c r="A573" t="s">
        <v>585</v>
      </c>
      <c r="B573" t="s">
        <v>1037</v>
      </c>
      <c r="C573" t="s">
        <v>1035</v>
      </c>
      <c r="D573" s="1">
        <v>46013</v>
      </c>
      <c r="E573" s="1">
        <v>46041</v>
      </c>
      <c r="F573" t="s">
        <v>1016</v>
      </c>
      <c r="G573" t="s">
        <v>1027</v>
      </c>
      <c r="H573" t="s">
        <v>1018</v>
      </c>
      <c r="I573" t="s">
        <v>1018</v>
      </c>
      <c r="J573" t="s">
        <v>1027</v>
      </c>
      <c r="K573">
        <v>0</v>
      </c>
      <c r="L573" t="s">
        <v>1028</v>
      </c>
      <c r="M573">
        <v>36</v>
      </c>
      <c r="N573" t="s">
        <v>1025</v>
      </c>
    </row>
    <row r="574" spans="1:14" x14ac:dyDescent="0.3">
      <c r="A574" t="s">
        <v>586</v>
      </c>
      <c r="B574" t="s">
        <v>1032</v>
      </c>
      <c r="C574" t="s">
        <v>1031</v>
      </c>
      <c r="D574" s="1">
        <v>45703</v>
      </c>
      <c r="E574" s="1">
        <v>45707</v>
      </c>
      <c r="F574" t="s">
        <v>1016</v>
      </c>
      <c r="G574" t="s">
        <v>1027</v>
      </c>
      <c r="H574" t="s">
        <v>1018</v>
      </c>
      <c r="I574" t="s">
        <v>1018</v>
      </c>
      <c r="J574" t="s">
        <v>1027</v>
      </c>
      <c r="K574">
        <v>0</v>
      </c>
      <c r="L574" t="s">
        <v>1028</v>
      </c>
      <c r="M574">
        <v>21</v>
      </c>
      <c r="N574" t="s">
        <v>1036</v>
      </c>
    </row>
    <row r="575" spans="1:14" x14ac:dyDescent="0.3">
      <c r="A575" t="s">
        <v>587</v>
      </c>
      <c r="B575" t="s">
        <v>1032</v>
      </c>
      <c r="C575" t="s">
        <v>1022</v>
      </c>
      <c r="D575" s="1">
        <v>45925</v>
      </c>
      <c r="E575" s="1">
        <v>45951</v>
      </c>
      <c r="F575" t="s">
        <v>1016</v>
      </c>
      <c r="G575" t="s">
        <v>1023</v>
      </c>
      <c r="H575" t="s">
        <v>1016</v>
      </c>
      <c r="I575" t="s">
        <v>1016</v>
      </c>
      <c r="J575" t="s">
        <v>1019</v>
      </c>
      <c r="K575">
        <v>97696</v>
      </c>
      <c r="L575" t="s">
        <v>1020</v>
      </c>
      <c r="M575">
        <v>55</v>
      </c>
      <c r="N575" t="s">
        <v>1025</v>
      </c>
    </row>
    <row r="576" spans="1:14" x14ac:dyDescent="0.3">
      <c r="A576" t="s">
        <v>588</v>
      </c>
      <c r="B576" t="s">
        <v>1026</v>
      </c>
      <c r="C576" t="s">
        <v>1035</v>
      </c>
      <c r="D576" s="1">
        <v>45742</v>
      </c>
      <c r="E576" s="1">
        <v>45777</v>
      </c>
      <c r="F576" t="s">
        <v>1018</v>
      </c>
      <c r="G576" t="s">
        <v>1017</v>
      </c>
      <c r="H576" t="s">
        <v>1018</v>
      </c>
      <c r="I576" t="s">
        <v>1018</v>
      </c>
      <c r="J576" t="s">
        <v>1019</v>
      </c>
      <c r="K576">
        <v>179527</v>
      </c>
      <c r="L576" t="s">
        <v>1020</v>
      </c>
      <c r="M576">
        <v>68</v>
      </c>
      <c r="N576" t="s">
        <v>1021</v>
      </c>
    </row>
    <row r="577" spans="1:14" x14ac:dyDescent="0.3">
      <c r="A577" t="s">
        <v>589</v>
      </c>
      <c r="B577" t="s">
        <v>1034</v>
      </c>
      <c r="C577" t="s">
        <v>1031</v>
      </c>
      <c r="D577" s="1">
        <v>45709</v>
      </c>
      <c r="E577" s="1">
        <v>45748</v>
      </c>
      <c r="F577" t="s">
        <v>1018</v>
      </c>
      <c r="G577" t="s">
        <v>1023</v>
      </c>
      <c r="H577" t="s">
        <v>1016</v>
      </c>
      <c r="I577" t="s">
        <v>1018</v>
      </c>
      <c r="J577" t="s">
        <v>1027</v>
      </c>
      <c r="K577">
        <v>0</v>
      </c>
      <c r="L577" t="s">
        <v>1028</v>
      </c>
      <c r="M577">
        <v>59</v>
      </c>
      <c r="N577" t="s">
        <v>1036</v>
      </c>
    </row>
    <row r="578" spans="1:14" x14ac:dyDescent="0.3">
      <c r="A578" t="s">
        <v>590</v>
      </c>
      <c r="B578" t="s">
        <v>1032</v>
      </c>
      <c r="C578" t="s">
        <v>1035</v>
      </c>
      <c r="D578" s="1">
        <v>45729</v>
      </c>
      <c r="E578" s="1">
        <v>45765</v>
      </c>
      <c r="F578" t="s">
        <v>1018</v>
      </c>
      <c r="G578" t="s">
        <v>1023</v>
      </c>
      <c r="H578" t="s">
        <v>1016</v>
      </c>
      <c r="I578" t="s">
        <v>1016</v>
      </c>
      <c r="J578" t="s">
        <v>1019</v>
      </c>
      <c r="K578">
        <v>153889</v>
      </c>
      <c r="L578" t="s">
        <v>1024</v>
      </c>
      <c r="M578">
        <v>51</v>
      </c>
      <c r="N578" t="s">
        <v>1036</v>
      </c>
    </row>
    <row r="579" spans="1:14" x14ac:dyDescent="0.3">
      <c r="A579" t="s">
        <v>591</v>
      </c>
      <c r="B579" t="s">
        <v>1014</v>
      </c>
      <c r="C579" t="s">
        <v>1031</v>
      </c>
      <c r="D579" s="1">
        <v>45978</v>
      </c>
      <c r="E579" s="1">
        <v>45999</v>
      </c>
      <c r="F579" t="s">
        <v>1016</v>
      </c>
      <c r="G579" t="s">
        <v>1017</v>
      </c>
      <c r="H579" t="s">
        <v>1018</v>
      </c>
      <c r="I579" t="s">
        <v>1018</v>
      </c>
      <c r="J579" t="s">
        <v>1019</v>
      </c>
      <c r="K579">
        <v>144278</v>
      </c>
      <c r="L579" t="s">
        <v>1020</v>
      </c>
      <c r="M579">
        <v>31</v>
      </c>
      <c r="N579" t="s">
        <v>1030</v>
      </c>
    </row>
    <row r="580" spans="1:14" x14ac:dyDescent="0.3">
      <c r="A580" t="s">
        <v>592</v>
      </c>
      <c r="B580" t="s">
        <v>1014</v>
      </c>
      <c r="C580" t="s">
        <v>1033</v>
      </c>
      <c r="D580" s="1">
        <v>45679</v>
      </c>
      <c r="E580" s="1">
        <v>45721</v>
      </c>
      <c r="F580" t="s">
        <v>1018</v>
      </c>
      <c r="G580" t="s">
        <v>1027</v>
      </c>
      <c r="H580" t="s">
        <v>1018</v>
      </c>
      <c r="I580" t="s">
        <v>1018</v>
      </c>
      <c r="J580" t="s">
        <v>1027</v>
      </c>
      <c r="K580">
        <v>0</v>
      </c>
      <c r="L580" t="s">
        <v>1028</v>
      </c>
      <c r="M580">
        <v>47</v>
      </c>
      <c r="N580" t="s">
        <v>1036</v>
      </c>
    </row>
    <row r="581" spans="1:14" x14ac:dyDescent="0.3">
      <c r="A581" t="s">
        <v>593</v>
      </c>
      <c r="B581" t="s">
        <v>1034</v>
      </c>
      <c r="C581" t="s">
        <v>1035</v>
      </c>
      <c r="D581" s="1">
        <v>46004</v>
      </c>
      <c r="E581" s="1">
        <v>46041</v>
      </c>
      <c r="F581" t="s">
        <v>1018</v>
      </c>
      <c r="G581" t="s">
        <v>1023</v>
      </c>
      <c r="H581" t="s">
        <v>1016</v>
      </c>
      <c r="I581" t="s">
        <v>1018</v>
      </c>
      <c r="J581" t="s">
        <v>1027</v>
      </c>
      <c r="K581">
        <v>0</v>
      </c>
      <c r="L581" t="s">
        <v>1028</v>
      </c>
      <c r="M581">
        <v>57</v>
      </c>
      <c r="N581" t="s">
        <v>1021</v>
      </c>
    </row>
    <row r="582" spans="1:14" x14ac:dyDescent="0.3">
      <c r="A582" t="s">
        <v>594</v>
      </c>
      <c r="B582" t="s">
        <v>1026</v>
      </c>
      <c r="C582" t="s">
        <v>1015</v>
      </c>
      <c r="D582" s="1">
        <v>45923</v>
      </c>
      <c r="E582" s="1">
        <v>45939</v>
      </c>
      <c r="F582" t="s">
        <v>1016</v>
      </c>
      <c r="G582" t="s">
        <v>1027</v>
      </c>
      <c r="H582" t="s">
        <v>1018</v>
      </c>
      <c r="I582" t="s">
        <v>1018</v>
      </c>
      <c r="J582" t="s">
        <v>1027</v>
      </c>
      <c r="K582">
        <v>0</v>
      </c>
      <c r="L582" t="s">
        <v>1028</v>
      </c>
      <c r="M582">
        <v>37</v>
      </c>
      <c r="N582" t="s">
        <v>1036</v>
      </c>
    </row>
    <row r="583" spans="1:14" x14ac:dyDescent="0.3">
      <c r="A583" t="s">
        <v>595</v>
      </c>
      <c r="B583" t="s">
        <v>1014</v>
      </c>
      <c r="C583" t="s">
        <v>1022</v>
      </c>
      <c r="D583" s="1">
        <v>45739</v>
      </c>
      <c r="E583" s="1">
        <v>45777</v>
      </c>
      <c r="F583" t="s">
        <v>1018</v>
      </c>
      <c r="G583" t="s">
        <v>1027</v>
      </c>
      <c r="H583" t="s">
        <v>1018</v>
      </c>
      <c r="I583" t="s">
        <v>1018</v>
      </c>
      <c r="J583" t="s">
        <v>1027</v>
      </c>
      <c r="K583">
        <v>0</v>
      </c>
      <c r="L583" t="s">
        <v>1028</v>
      </c>
      <c r="M583">
        <v>77</v>
      </c>
      <c r="N583" t="s">
        <v>1030</v>
      </c>
    </row>
    <row r="584" spans="1:14" x14ac:dyDescent="0.3">
      <c r="A584" t="s">
        <v>596</v>
      </c>
      <c r="B584" t="s">
        <v>1029</v>
      </c>
      <c r="C584" t="s">
        <v>1015</v>
      </c>
      <c r="D584" s="1">
        <v>45943</v>
      </c>
      <c r="E584" s="1">
        <v>45981</v>
      </c>
      <c r="F584" t="s">
        <v>1018</v>
      </c>
      <c r="G584" t="s">
        <v>1027</v>
      </c>
      <c r="H584" t="s">
        <v>1018</v>
      </c>
      <c r="I584" t="s">
        <v>1018</v>
      </c>
      <c r="J584" t="s">
        <v>1027</v>
      </c>
      <c r="K584">
        <v>0</v>
      </c>
      <c r="L584" t="s">
        <v>1028</v>
      </c>
      <c r="M584">
        <v>54</v>
      </c>
      <c r="N584" t="s">
        <v>1021</v>
      </c>
    </row>
    <row r="585" spans="1:14" x14ac:dyDescent="0.3">
      <c r="A585" t="s">
        <v>597</v>
      </c>
      <c r="B585" t="s">
        <v>1026</v>
      </c>
      <c r="C585" t="s">
        <v>1015</v>
      </c>
      <c r="D585" s="1">
        <v>45813</v>
      </c>
      <c r="E585" s="1">
        <v>45848</v>
      </c>
      <c r="F585" t="s">
        <v>1018</v>
      </c>
      <c r="G585" t="s">
        <v>1027</v>
      </c>
      <c r="H585" t="s">
        <v>1018</v>
      </c>
      <c r="I585" t="s">
        <v>1018</v>
      </c>
      <c r="J585" t="s">
        <v>1027</v>
      </c>
      <c r="K585">
        <v>0</v>
      </c>
      <c r="L585" t="s">
        <v>1028</v>
      </c>
      <c r="M585">
        <v>69</v>
      </c>
      <c r="N585" t="s">
        <v>1030</v>
      </c>
    </row>
    <row r="586" spans="1:14" x14ac:dyDescent="0.3">
      <c r="A586" t="s">
        <v>598</v>
      </c>
      <c r="B586" t="s">
        <v>1034</v>
      </c>
      <c r="C586" t="s">
        <v>1031</v>
      </c>
      <c r="D586" s="1">
        <v>45743</v>
      </c>
      <c r="E586" s="1">
        <v>45753</v>
      </c>
      <c r="F586" t="s">
        <v>1016</v>
      </c>
      <c r="G586" t="s">
        <v>1023</v>
      </c>
      <c r="H586" t="s">
        <v>1016</v>
      </c>
      <c r="I586" t="s">
        <v>1018</v>
      </c>
      <c r="J586" t="s">
        <v>1027</v>
      </c>
      <c r="K586">
        <v>0</v>
      </c>
      <c r="L586" t="s">
        <v>1028</v>
      </c>
      <c r="M586">
        <v>26</v>
      </c>
      <c r="N586" t="s">
        <v>1021</v>
      </c>
    </row>
    <row r="587" spans="1:14" x14ac:dyDescent="0.3">
      <c r="A587" t="s">
        <v>599</v>
      </c>
      <c r="B587" t="s">
        <v>1037</v>
      </c>
      <c r="C587" t="s">
        <v>1022</v>
      </c>
      <c r="D587" s="1">
        <v>45896</v>
      </c>
      <c r="E587" s="1">
        <v>45918</v>
      </c>
      <c r="F587" t="s">
        <v>1016</v>
      </c>
      <c r="G587" t="s">
        <v>1017</v>
      </c>
      <c r="H587" t="s">
        <v>1018</v>
      </c>
      <c r="I587" t="s">
        <v>1018</v>
      </c>
      <c r="J587" t="s">
        <v>1019</v>
      </c>
      <c r="K587">
        <v>130985</v>
      </c>
      <c r="L587" t="s">
        <v>1024</v>
      </c>
      <c r="M587">
        <v>43</v>
      </c>
      <c r="N587" t="s">
        <v>1030</v>
      </c>
    </row>
    <row r="588" spans="1:14" x14ac:dyDescent="0.3">
      <c r="A588" t="s">
        <v>600</v>
      </c>
      <c r="B588" t="s">
        <v>1014</v>
      </c>
      <c r="C588" t="s">
        <v>1022</v>
      </c>
      <c r="D588" s="1">
        <v>45773</v>
      </c>
      <c r="E588" s="1">
        <v>45814</v>
      </c>
      <c r="F588" t="s">
        <v>1018</v>
      </c>
      <c r="G588" t="s">
        <v>1017</v>
      </c>
      <c r="H588" t="s">
        <v>1018</v>
      </c>
      <c r="I588" t="s">
        <v>1018</v>
      </c>
      <c r="J588" t="s">
        <v>1019</v>
      </c>
      <c r="K588">
        <v>12658</v>
      </c>
      <c r="L588" t="s">
        <v>1020</v>
      </c>
      <c r="M588">
        <v>56</v>
      </c>
      <c r="N588" t="s">
        <v>1030</v>
      </c>
    </row>
    <row r="589" spans="1:14" x14ac:dyDescent="0.3">
      <c r="A589" t="s">
        <v>601</v>
      </c>
      <c r="B589" t="s">
        <v>1014</v>
      </c>
      <c r="C589" t="s">
        <v>1033</v>
      </c>
      <c r="D589" s="1">
        <v>45789</v>
      </c>
      <c r="E589" s="1">
        <v>45832</v>
      </c>
      <c r="F589" t="s">
        <v>1018</v>
      </c>
      <c r="G589" t="s">
        <v>1027</v>
      </c>
      <c r="H589" t="s">
        <v>1018</v>
      </c>
      <c r="I589" t="s">
        <v>1018</v>
      </c>
      <c r="J589" t="s">
        <v>1027</v>
      </c>
      <c r="K589">
        <v>0</v>
      </c>
      <c r="L589" t="s">
        <v>1028</v>
      </c>
      <c r="M589">
        <v>58</v>
      </c>
      <c r="N589" t="s">
        <v>1036</v>
      </c>
    </row>
    <row r="590" spans="1:14" x14ac:dyDescent="0.3">
      <c r="A590" t="s">
        <v>602</v>
      </c>
      <c r="B590" t="s">
        <v>1029</v>
      </c>
      <c r="C590" t="s">
        <v>1033</v>
      </c>
      <c r="D590" s="1">
        <v>45985</v>
      </c>
      <c r="E590" s="1">
        <v>45996</v>
      </c>
      <c r="F590" t="s">
        <v>1016</v>
      </c>
      <c r="G590" t="s">
        <v>1017</v>
      </c>
      <c r="H590" t="s">
        <v>1018</v>
      </c>
      <c r="I590" t="s">
        <v>1018</v>
      </c>
      <c r="J590" t="s">
        <v>1019</v>
      </c>
      <c r="K590">
        <v>135910</v>
      </c>
      <c r="L590" t="s">
        <v>1020</v>
      </c>
      <c r="M590">
        <v>48</v>
      </c>
      <c r="N590" t="s">
        <v>1036</v>
      </c>
    </row>
    <row r="591" spans="1:14" x14ac:dyDescent="0.3">
      <c r="A591" t="s">
        <v>603</v>
      </c>
      <c r="B591" t="s">
        <v>1029</v>
      </c>
      <c r="C591" t="s">
        <v>1022</v>
      </c>
      <c r="D591" s="1">
        <v>45924</v>
      </c>
      <c r="E591" s="1">
        <v>45928</v>
      </c>
      <c r="F591" t="s">
        <v>1016</v>
      </c>
      <c r="G591" t="s">
        <v>1017</v>
      </c>
      <c r="H591" t="s">
        <v>1018</v>
      </c>
      <c r="I591" t="s">
        <v>1018</v>
      </c>
      <c r="J591" t="s">
        <v>1019</v>
      </c>
      <c r="K591">
        <v>151355</v>
      </c>
      <c r="L591" t="s">
        <v>1024</v>
      </c>
      <c r="M591">
        <v>42</v>
      </c>
      <c r="N591" t="s">
        <v>1021</v>
      </c>
    </row>
    <row r="592" spans="1:14" x14ac:dyDescent="0.3">
      <c r="A592" t="s">
        <v>604</v>
      </c>
      <c r="B592" t="s">
        <v>1037</v>
      </c>
      <c r="C592" t="s">
        <v>1033</v>
      </c>
      <c r="D592" s="1">
        <v>45997</v>
      </c>
      <c r="E592" s="1">
        <v>46031</v>
      </c>
      <c r="F592" t="s">
        <v>1018</v>
      </c>
      <c r="G592" t="s">
        <v>1017</v>
      </c>
      <c r="H592" t="s">
        <v>1018</v>
      </c>
      <c r="I592" t="s">
        <v>1018</v>
      </c>
      <c r="J592" t="s">
        <v>1019</v>
      </c>
      <c r="K592">
        <v>41731</v>
      </c>
      <c r="L592" t="s">
        <v>1020</v>
      </c>
      <c r="M592">
        <v>42</v>
      </c>
      <c r="N592" t="s">
        <v>1036</v>
      </c>
    </row>
    <row r="593" spans="1:14" x14ac:dyDescent="0.3">
      <c r="A593" t="s">
        <v>605</v>
      </c>
      <c r="B593" t="s">
        <v>1014</v>
      </c>
      <c r="C593" t="s">
        <v>1031</v>
      </c>
      <c r="D593" s="1">
        <v>45957</v>
      </c>
      <c r="E593" s="1">
        <v>45969</v>
      </c>
      <c r="F593" t="s">
        <v>1016</v>
      </c>
      <c r="G593" t="s">
        <v>1023</v>
      </c>
      <c r="H593" t="s">
        <v>1016</v>
      </c>
      <c r="I593" t="s">
        <v>1018</v>
      </c>
      <c r="J593" t="s">
        <v>1027</v>
      </c>
      <c r="K593">
        <v>0</v>
      </c>
      <c r="L593" t="s">
        <v>1028</v>
      </c>
      <c r="M593">
        <v>26</v>
      </c>
      <c r="N593" t="s">
        <v>1025</v>
      </c>
    </row>
    <row r="594" spans="1:14" x14ac:dyDescent="0.3">
      <c r="A594" t="s">
        <v>606</v>
      </c>
      <c r="B594" t="s">
        <v>1037</v>
      </c>
      <c r="C594" t="s">
        <v>1033</v>
      </c>
      <c r="D594" s="1">
        <v>45850</v>
      </c>
      <c r="E594" s="1">
        <v>45883</v>
      </c>
      <c r="F594" t="s">
        <v>1018</v>
      </c>
      <c r="G594" t="s">
        <v>1027</v>
      </c>
      <c r="H594" t="s">
        <v>1018</v>
      </c>
      <c r="I594" t="s">
        <v>1018</v>
      </c>
      <c r="J594" t="s">
        <v>1027</v>
      </c>
      <c r="K594">
        <v>0</v>
      </c>
      <c r="L594" t="s">
        <v>1028</v>
      </c>
      <c r="M594">
        <v>63</v>
      </c>
      <c r="N594" t="s">
        <v>1021</v>
      </c>
    </row>
    <row r="595" spans="1:14" x14ac:dyDescent="0.3">
      <c r="A595" t="s">
        <v>607</v>
      </c>
      <c r="B595" t="s">
        <v>1032</v>
      </c>
      <c r="C595" t="s">
        <v>1033</v>
      </c>
      <c r="D595" s="1">
        <v>45717</v>
      </c>
      <c r="E595" s="1">
        <v>45755</v>
      </c>
      <c r="F595" t="s">
        <v>1018</v>
      </c>
      <c r="G595" t="s">
        <v>1017</v>
      </c>
      <c r="H595" t="s">
        <v>1018</v>
      </c>
      <c r="I595" t="s">
        <v>1018</v>
      </c>
      <c r="J595" t="s">
        <v>1019</v>
      </c>
      <c r="K595">
        <v>128336</v>
      </c>
      <c r="L595" t="s">
        <v>1024</v>
      </c>
      <c r="M595">
        <v>70</v>
      </c>
      <c r="N595" t="s">
        <v>1036</v>
      </c>
    </row>
    <row r="596" spans="1:14" x14ac:dyDescent="0.3">
      <c r="A596" t="s">
        <v>608</v>
      </c>
      <c r="B596" t="s">
        <v>1026</v>
      </c>
      <c r="C596" t="s">
        <v>1033</v>
      </c>
      <c r="D596" s="1">
        <v>45672</v>
      </c>
      <c r="E596" s="1">
        <v>45706</v>
      </c>
      <c r="F596" t="s">
        <v>1018</v>
      </c>
      <c r="G596" t="s">
        <v>1017</v>
      </c>
      <c r="H596" t="s">
        <v>1018</v>
      </c>
      <c r="I596" t="s">
        <v>1018</v>
      </c>
      <c r="J596" t="s">
        <v>1019</v>
      </c>
      <c r="K596">
        <v>70131</v>
      </c>
      <c r="L596" t="s">
        <v>1024</v>
      </c>
      <c r="M596">
        <v>58</v>
      </c>
      <c r="N596" t="s">
        <v>1036</v>
      </c>
    </row>
    <row r="597" spans="1:14" x14ac:dyDescent="0.3">
      <c r="A597" t="s">
        <v>609</v>
      </c>
      <c r="B597" t="s">
        <v>1026</v>
      </c>
      <c r="C597" t="s">
        <v>1031</v>
      </c>
      <c r="D597" s="1">
        <v>45663</v>
      </c>
      <c r="E597" s="1">
        <v>45708</v>
      </c>
      <c r="F597" t="s">
        <v>1018</v>
      </c>
      <c r="G597" t="s">
        <v>1023</v>
      </c>
      <c r="H597" t="s">
        <v>1016</v>
      </c>
      <c r="I597" t="s">
        <v>1016</v>
      </c>
      <c r="J597" t="s">
        <v>1019</v>
      </c>
      <c r="K597">
        <v>27936</v>
      </c>
      <c r="L597" t="s">
        <v>1020</v>
      </c>
      <c r="M597">
        <v>50</v>
      </c>
      <c r="N597" t="s">
        <v>1021</v>
      </c>
    </row>
    <row r="598" spans="1:14" x14ac:dyDescent="0.3">
      <c r="A598" t="s">
        <v>610</v>
      </c>
      <c r="B598" t="s">
        <v>1014</v>
      </c>
      <c r="C598" t="s">
        <v>1031</v>
      </c>
      <c r="D598" s="1">
        <v>45677</v>
      </c>
      <c r="E598" s="1">
        <v>45686</v>
      </c>
      <c r="F598" t="s">
        <v>1016</v>
      </c>
      <c r="G598" t="s">
        <v>1023</v>
      </c>
      <c r="H598" t="s">
        <v>1016</v>
      </c>
      <c r="I598" t="s">
        <v>1018</v>
      </c>
      <c r="J598" t="s">
        <v>1027</v>
      </c>
      <c r="K598">
        <v>0</v>
      </c>
      <c r="L598" t="s">
        <v>1028</v>
      </c>
      <c r="M598">
        <v>23</v>
      </c>
      <c r="N598" t="s">
        <v>1036</v>
      </c>
    </row>
    <row r="599" spans="1:14" x14ac:dyDescent="0.3">
      <c r="A599" t="s">
        <v>611</v>
      </c>
      <c r="B599" t="s">
        <v>1014</v>
      </c>
      <c r="C599" t="s">
        <v>1015</v>
      </c>
      <c r="D599" s="1">
        <v>45748</v>
      </c>
      <c r="E599" s="1">
        <v>45754</v>
      </c>
      <c r="F599" t="s">
        <v>1016</v>
      </c>
      <c r="G599" t="s">
        <v>1017</v>
      </c>
      <c r="H599" t="s">
        <v>1018</v>
      </c>
      <c r="I599" t="s">
        <v>1018</v>
      </c>
      <c r="J599" t="s">
        <v>1019</v>
      </c>
      <c r="K599">
        <v>55504</v>
      </c>
      <c r="L599" t="s">
        <v>1020</v>
      </c>
      <c r="M599">
        <v>41</v>
      </c>
      <c r="N599" t="s">
        <v>1030</v>
      </c>
    </row>
    <row r="600" spans="1:14" x14ac:dyDescent="0.3">
      <c r="A600" t="s">
        <v>612</v>
      </c>
      <c r="B600" t="s">
        <v>1037</v>
      </c>
      <c r="C600" t="s">
        <v>1022</v>
      </c>
      <c r="D600" s="1">
        <v>45977</v>
      </c>
      <c r="E600" s="1">
        <v>45990</v>
      </c>
      <c r="F600" t="s">
        <v>1016</v>
      </c>
      <c r="G600" t="s">
        <v>1027</v>
      </c>
      <c r="H600" t="s">
        <v>1018</v>
      </c>
      <c r="I600" t="s">
        <v>1018</v>
      </c>
      <c r="J600" t="s">
        <v>1027</v>
      </c>
      <c r="K600">
        <v>0</v>
      </c>
      <c r="L600" t="s">
        <v>1028</v>
      </c>
      <c r="M600">
        <v>51</v>
      </c>
      <c r="N600" t="s">
        <v>1036</v>
      </c>
    </row>
    <row r="601" spans="1:14" x14ac:dyDescent="0.3">
      <c r="A601" t="s">
        <v>613</v>
      </c>
      <c r="B601" t="s">
        <v>1034</v>
      </c>
      <c r="C601" t="s">
        <v>1033</v>
      </c>
      <c r="D601" s="1">
        <v>45992</v>
      </c>
      <c r="E601" s="1">
        <v>46023</v>
      </c>
      <c r="F601" t="s">
        <v>1018</v>
      </c>
      <c r="G601" t="s">
        <v>1023</v>
      </c>
      <c r="H601" t="s">
        <v>1016</v>
      </c>
      <c r="I601" t="s">
        <v>1018</v>
      </c>
      <c r="J601" t="s">
        <v>1027</v>
      </c>
      <c r="K601">
        <v>0</v>
      </c>
      <c r="L601" t="s">
        <v>1028</v>
      </c>
      <c r="M601">
        <v>43</v>
      </c>
      <c r="N601" t="s">
        <v>1021</v>
      </c>
    </row>
    <row r="602" spans="1:14" x14ac:dyDescent="0.3">
      <c r="A602" t="s">
        <v>614</v>
      </c>
      <c r="B602" t="s">
        <v>1014</v>
      </c>
      <c r="C602" t="s">
        <v>1031</v>
      </c>
      <c r="D602" s="1">
        <v>45792</v>
      </c>
      <c r="E602" s="1">
        <v>45819</v>
      </c>
      <c r="F602" t="s">
        <v>1016</v>
      </c>
      <c r="G602" t="s">
        <v>1023</v>
      </c>
      <c r="H602" t="s">
        <v>1016</v>
      </c>
      <c r="I602" t="s">
        <v>1016</v>
      </c>
      <c r="J602" t="s">
        <v>1019</v>
      </c>
      <c r="K602">
        <v>138656</v>
      </c>
      <c r="L602" t="s">
        <v>1020</v>
      </c>
      <c r="M602">
        <v>56</v>
      </c>
      <c r="N602" t="s">
        <v>1030</v>
      </c>
    </row>
    <row r="603" spans="1:14" x14ac:dyDescent="0.3">
      <c r="A603" t="s">
        <v>615</v>
      </c>
      <c r="B603" t="s">
        <v>1037</v>
      </c>
      <c r="C603" t="s">
        <v>1022</v>
      </c>
      <c r="D603" s="1">
        <v>45885</v>
      </c>
      <c r="E603" s="1">
        <v>45918</v>
      </c>
      <c r="F603" t="s">
        <v>1018</v>
      </c>
      <c r="G603" t="s">
        <v>1017</v>
      </c>
      <c r="H603" t="s">
        <v>1018</v>
      </c>
      <c r="I603" t="s">
        <v>1018</v>
      </c>
      <c r="J603" t="s">
        <v>1019</v>
      </c>
      <c r="K603">
        <v>80158</v>
      </c>
      <c r="L603" t="s">
        <v>1020</v>
      </c>
      <c r="M603">
        <v>43</v>
      </c>
      <c r="N603" t="s">
        <v>1036</v>
      </c>
    </row>
    <row r="604" spans="1:14" x14ac:dyDescent="0.3">
      <c r="A604" t="s">
        <v>616</v>
      </c>
      <c r="B604" t="s">
        <v>1029</v>
      </c>
      <c r="C604" t="s">
        <v>1035</v>
      </c>
      <c r="D604" s="1">
        <v>45739</v>
      </c>
      <c r="E604" s="1">
        <v>45740</v>
      </c>
      <c r="F604" t="s">
        <v>1016</v>
      </c>
      <c r="G604" t="s">
        <v>1027</v>
      </c>
      <c r="H604" t="s">
        <v>1018</v>
      </c>
      <c r="I604" t="s">
        <v>1018</v>
      </c>
      <c r="J604" t="s">
        <v>1027</v>
      </c>
      <c r="K604">
        <v>0</v>
      </c>
      <c r="L604" t="s">
        <v>1028</v>
      </c>
      <c r="M604">
        <v>21</v>
      </c>
      <c r="N604" t="s">
        <v>1025</v>
      </c>
    </row>
    <row r="605" spans="1:14" x14ac:dyDescent="0.3">
      <c r="A605" t="s">
        <v>617</v>
      </c>
      <c r="B605" t="s">
        <v>1014</v>
      </c>
      <c r="C605" t="s">
        <v>1015</v>
      </c>
      <c r="D605" s="1">
        <v>45963</v>
      </c>
      <c r="E605" s="1">
        <v>45990</v>
      </c>
      <c r="F605" t="s">
        <v>1016</v>
      </c>
      <c r="G605" t="s">
        <v>1017</v>
      </c>
      <c r="H605" t="s">
        <v>1018</v>
      </c>
      <c r="I605" t="s">
        <v>1018</v>
      </c>
      <c r="J605" t="s">
        <v>1019</v>
      </c>
      <c r="K605">
        <v>193754</v>
      </c>
      <c r="L605" t="s">
        <v>1020</v>
      </c>
      <c r="M605">
        <v>60</v>
      </c>
      <c r="N605" t="s">
        <v>1036</v>
      </c>
    </row>
    <row r="606" spans="1:14" x14ac:dyDescent="0.3">
      <c r="A606" t="s">
        <v>618</v>
      </c>
      <c r="B606" t="s">
        <v>1032</v>
      </c>
      <c r="C606" t="s">
        <v>1015</v>
      </c>
      <c r="D606" s="1">
        <v>45865</v>
      </c>
      <c r="E606" s="1">
        <v>45900</v>
      </c>
      <c r="F606" t="s">
        <v>1018</v>
      </c>
      <c r="G606" t="s">
        <v>1017</v>
      </c>
      <c r="H606" t="s">
        <v>1018</v>
      </c>
      <c r="I606" t="s">
        <v>1018</v>
      </c>
      <c r="J606" t="s">
        <v>1019</v>
      </c>
      <c r="K606">
        <v>156915</v>
      </c>
      <c r="L606" t="s">
        <v>1020</v>
      </c>
      <c r="M606">
        <v>44</v>
      </c>
      <c r="N606" t="s">
        <v>1030</v>
      </c>
    </row>
    <row r="607" spans="1:14" x14ac:dyDescent="0.3">
      <c r="A607" t="s">
        <v>619</v>
      </c>
      <c r="B607" t="s">
        <v>1034</v>
      </c>
      <c r="C607" t="s">
        <v>1035</v>
      </c>
      <c r="D607" s="1">
        <v>45897</v>
      </c>
      <c r="E607" s="1">
        <v>45905</v>
      </c>
      <c r="F607" t="s">
        <v>1016</v>
      </c>
      <c r="G607" t="s">
        <v>1023</v>
      </c>
      <c r="H607" t="s">
        <v>1016</v>
      </c>
      <c r="I607" t="s">
        <v>1016</v>
      </c>
      <c r="J607" t="s">
        <v>1019</v>
      </c>
      <c r="K607">
        <v>72696</v>
      </c>
      <c r="L607" t="s">
        <v>1020</v>
      </c>
      <c r="M607">
        <v>42</v>
      </c>
      <c r="N607" t="s">
        <v>1036</v>
      </c>
    </row>
    <row r="608" spans="1:14" x14ac:dyDescent="0.3">
      <c r="A608" t="s">
        <v>620</v>
      </c>
      <c r="B608" t="s">
        <v>1026</v>
      </c>
      <c r="C608" t="s">
        <v>1033</v>
      </c>
      <c r="D608" s="1">
        <v>46007</v>
      </c>
      <c r="E608" s="1">
        <v>46012</v>
      </c>
      <c r="F608" t="s">
        <v>1016</v>
      </c>
      <c r="G608" t="s">
        <v>1023</v>
      </c>
      <c r="H608" t="s">
        <v>1016</v>
      </c>
      <c r="I608" t="s">
        <v>1016</v>
      </c>
      <c r="J608" t="s">
        <v>1019</v>
      </c>
      <c r="K608">
        <v>76470</v>
      </c>
      <c r="L608" t="s">
        <v>1020</v>
      </c>
      <c r="M608">
        <v>38</v>
      </c>
      <c r="N608" t="s">
        <v>1030</v>
      </c>
    </row>
    <row r="609" spans="1:14" x14ac:dyDescent="0.3">
      <c r="A609" t="s">
        <v>621</v>
      </c>
      <c r="B609" t="s">
        <v>1037</v>
      </c>
      <c r="C609" t="s">
        <v>1015</v>
      </c>
      <c r="D609" s="1">
        <v>45815</v>
      </c>
      <c r="E609" s="1">
        <v>45829</v>
      </c>
      <c r="F609" t="s">
        <v>1016</v>
      </c>
      <c r="G609" t="s">
        <v>1027</v>
      </c>
      <c r="H609" t="s">
        <v>1018</v>
      </c>
      <c r="I609" t="s">
        <v>1018</v>
      </c>
      <c r="J609" t="s">
        <v>1027</v>
      </c>
      <c r="K609">
        <v>0</v>
      </c>
      <c r="L609" t="s">
        <v>1028</v>
      </c>
      <c r="M609">
        <v>19</v>
      </c>
      <c r="N609" t="s">
        <v>1025</v>
      </c>
    </row>
    <row r="610" spans="1:14" x14ac:dyDescent="0.3">
      <c r="A610" t="s">
        <v>622</v>
      </c>
      <c r="B610" t="s">
        <v>1032</v>
      </c>
      <c r="C610" t="s">
        <v>1033</v>
      </c>
      <c r="D610" s="1">
        <v>45855</v>
      </c>
      <c r="E610" s="1">
        <v>45878</v>
      </c>
      <c r="F610" t="s">
        <v>1016</v>
      </c>
      <c r="G610" t="s">
        <v>1023</v>
      </c>
      <c r="H610" t="s">
        <v>1016</v>
      </c>
      <c r="I610" t="s">
        <v>1018</v>
      </c>
      <c r="J610" t="s">
        <v>1027</v>
      </c>
      <c r="K610">
        <v>0</v>
      </c>
      <c r="L610" t="s">
        <v>1028</v>
      </c>
      <c r="M610">
        <v>30</v>
      </c>
      <c r="N610" t="s">
        <v>1025</v>
      </c>
    </row>
    <row r="611" spans="1:14" x14ac:dyDescent="0.3">
      <c r="A611" t="s">
        <v>623</v>
      </c>
      <c r="B611" t="s">
        <v>1026</v>
      </c>
      <c r="C611" t="s">
        <v>1035</v>
      </c>
      <c r="D611" s="1">
        <v>45831</v>
      </c>
      <c r="E611" s="1">
        <v>45846</v>
      </c>
      <c r="F611" t="s">
        <v>1016</v>
      </c>
      <c r="G611" t="s">
        <v>1017</v>
      </c>
      <c r="H611" t="s">
        <v>1018</v>
      </c>
      <c r="I611" t="s">
        <v>1018</v>
      </c>
      <c r="J611" t="s">
        <v>1019</v>
      </c>
      <c r="K611">
        <v>20862</v>
      </c>
      <c r="L611" t="s">
        <v>1020</v>
      </c>
      <c r="M611">
        <v>23</v>
      </c>
      <c r="N611" t="s">
        <v>1030</v>
      </c>
    </row>
    <row r="612" spans="1:14" x14ac:dyDescent="0.3">
      <c r="A612" t="s">
        <v>624</v>
      </c>
      <c r="B612" t="s">
        <v>1032</v>
      </c>
      <c r="C612" t="s">
        <v>1015</v>
      </c>
      <c r="D612" s="1">
        <v>45674</v>
      </c>
      <c r="E612" s="1">
        <v>45689</v>
      </c>
      <c r="F612" t="s">
        <v>1016</v>
      </c>
      <c r="G612" t="s">
        <v>1027</v>
      </c>
      <c r="H612" t="s">
        <v>1018</v>
      </c>
      <c r="I612" t="s">
        <v>1018</v>
      </c>
      <c r="J612" t="s">
        <v>1027</v>
      </c>
      <c r="K612">
        <v>0</v>
      </c>
      <c r="L612" t="s">
        <v>1028</v>
      </c>
      <c r="M612">
        <v>36</v>
      </c>
      <c r="N612" t="s">
        <v>1036</v>
      </c>
    </row>
    <row r="613" spans="1:14" x14ac:dyDescent="0.3">
      <c r="A613" t="s">
        <v>625</v>
      </c>
      <c r="B613" t="s">
        <v>1029</v>
      </c>
      <c r="C613" t="s">
        <v>1022</v>
      </c>
      <c r="D613" s="1">
        <v>45811</v>
      </c>
      <c r="E613" s="1">
        <v>45856</v>
      </c>
      <c r="F613" t="s">
        <v>1018</v>
      </c>
      <c r="G613" t="s">
        <v>1023</v>
      </c>
      <c r="H613" t="s">
        <v>1016</v>
      </c>
      <c r="I613" t="s">
        <v>1018</v>
      </c>
      <c r="J613" t="s">
        <v>1027</v>
      </c>
      <c r="K613">
        <v>0</v>
      </c>
      <c r="L613" t="s">
        <v>1028</v>
      </c>
      <c r="M613">
        <v>66</v>
      </c>
      <c r="N613" t="s">
        <v>1036</v>
      </c>
    </row>
    <row r="614" spans="1:14" x14ac:dyDescent="0.3">
      <c r="A614" t="s">
        <v>626</v>
      </c>
      <c r="B614" t="s">
        <v>1026</v>
      </c>
      <c r="C614" t="s">
        <v>1035</v>
      </c>
      <c r="D614" s="1">
        <v>45750</v>
      </c>
      <c r="E614" s="1">
        <v>45793</v>
      </c>
      <c r="F614" t="s">
        <v>1018</v>
      </c>
      <c r="G614" t="s">
        <v>1017</v>
      </c>
      <c r="H614" t="s">
        <v>1018</v>
      </c>
      <c r="I614" t="s">
        <v>1018</v>
      </c>
      <c r="J614" t="s">
        <v>1019</v>
      </c>
      <c r="K614">
        <v>179066</v>
      </c>
      <c r="L614" t="s">
        <v>1020</v>
      </c>
      <c r="M614">
        <v>80</v>
      </c>
      <c r="N614" t="s">
        <v>1021</v>
      </c>
    </row>
    <row r="615" spans="1:14" x14ac:dyDescent="0.3">
      <c r="A615" t="s">
        <v>627</v>
      </c>
      <c r="B615" t="s">
        <v>1032</v>
      </c>
      <c r="C615" t="s">
        <v>1022</v>
      </c>
      <c r="D615" s="1">
        <v>45795</v>
      </c>
      <c r="E615" s="1">
        <v>45816</v>
      </c>
      <c r="F615" t="s">
        <v>1016</v>
      </c>
      <c r="G615" t="s">
        <v>1023</v>
      </c>
      <c r="H615" t="s">
        <v>1016</v>
      </c>
      <c r="I615" t="s">
        <v>1016</v>
      </c>
      <c r="J615" t="s">
        <v>1019</v>
      </c>
      <c r="K615">
        <v>107185</v>
      </c>
      <c r="L615" t="s">
        <v>1020</v>
      </c>
      <c r="M615">
        <v>28</v>
      </c>
      <c r="N615" t="s">
        <v>1030</v>
      </c>
    </row>
    <row r="616" spans="1:14" x14ac:dyDescent="0.3">
      <c r="A616" t="s">
        <v>628</v>
      </c>
      <c r="B616" t="s">
        <v>1032</v>
      </c>
      <c r="C616" t="s">
        <v>1035</v>
      </c>
      <c r="D616" s="1">
        <v>45976</v>
      </c>
      <c r="E616" s="1">
        <v>45996</v>
      </c>
      <c r="F616" t="s">
        <v>1016</v>
      </c>
      <c r="G616" t="s">
        <v>1023</v>
      </c>
      <c r="H616" t="s">
        <v>1016</v>
      </c>
      <c r="I616" t="s">
        <v>1016</v>
      </c>
      <c r="J616" t="s">
        <v>1019</v>
      </c>
      <c r="K616">
        <v>76895</v>
      </c>
      <c r="L616" t="s">
        <v>1020</v>
      </c>
      <c r="M616">
        <v>55</v>
      </c>
      <c r="N616" t="s">
        <v>1021</v>
      </c>
    </row>
    <row r="617" spans="1:14" x14ac:dyDescent="0.3">
      <c r="A617" t="s">
        <v>629</v>
      </c>
      <c r="B617" t="s">
        <v>1026</v>
      </c>
      <c r="C617" t="s">
        <v>1022</v>
      </c>
      <c r="D617" s="1">
        <v>45671</v>
      </c>
      <c r="E617" s="1">
        <v>45698</v>
      </c>
      <c r="F617" t="s">
        <v>1016</v>
      </c>
      <c r="G617" t="s">
        <v>1017</v>
      </c>
      <c r="H617" t="s">
        <v>1018</v>
      </c>
      <c r="I617" t="s">
        <v>1018</v>
      </c>
      <c r="J617" t="s">
        <v>1019</v>
      </c>
      <c r="K617">
        <v>164669</v>
      </c>
      <c r="L617" t="s">
        <v>1020</v>
      </c>
      <c r="M617">
        <v>65</v>
      </c>
      <c r="N617" t="s">
        <v>1025</v>
      </c>
    </row>
    <row r="618" spans="1:14" x14ac:dyDescent="0.3">
      <c r="A618" t="s">
        <v>630</v>
      </c>
      <c r="B618" t="s">
        <v>1029</v>
      </c>
      <c r="C618" t="s">
        <v>1033</v>
      </c>
      <c r="D618" s="1">
        <v>45996</v>
      </c>
      <c r="E618" s="1">
        <v>46022</v>
      </c>
      <c r="F618" t="s">
        <v>1016</v>
      </c>
      <c r="G618" t="s">
        <v>1027</v>
      </c>
      <c r="H618" t="s">
        <v>1018</v>
      </c>
      <c r="I618" t="s">
        <v>1018</v>
      </c>
      <c r="J618" t="s">
        <v>1027</v>
      </c>
      <c r="K618">
        <v>0</v>
      </c>
      <c r="L618" t="s">
        <v>1028</v>
      </c>
      <c r="M618">
        <v>50</v>
      </c>
      <c r="N618" t="s">
        <v>1021</v>
      </c>
    </row>
    <row r="619" spans="1:14" x14ac:dyDescent="0.3">
      <c r="A619" t="s">
        <v>631</v>
      </c>
      <c r="B619" t="s">
        <v>1034</v>
      </c>
      <c r="C619" t="s">
        <v>1033</v>
      </c>
      <c r="D619" s="1">
        <v>45923</v>
      </c>
      <c r="E619" s="1">
        <v>45935</v>
      </c>
      <c r="F619" t="s">
        <v>1016</v>
      </c>
      <c r="G619" t="s">
        <v>1027</v>
      </c>
      <c r="H619" t="s">
        <v>1018</v>
      </c>
      <c r="I619" t="s">
        <v>1018</v>
      </c>
      <c r="J619" t="s">
        <v>1027</v>
      </c>
      <c r="K619">
        <v>0</v>
      </c>
      <c r="L619" t="s">
        <v>1028</v>
      </c>
      <c r="M619">
        <v>49</v>
      </c>
      <c r="N619" t="s">
        <v>1021</v>
      </c>
    </row>
    <row r="620" spans="1:14" x14ac:dyDescent="0.3">
      <c r="A620" t="s">
        <v>632</v>
      </c>
      <c r="B620" t="s">
        <v>1026</v>
      </c>
      <c r="C620" t="s">
        <v>1033</v>
      </c>
      <c r="D620" s="1">
        <v>45736</v>
      </c>
      <c r="E620" s="1">
        <v>45771</v>
      </c>
      <c r="F620" t="s">
        <v>1018</v>
      </c>
      <c r="G620" t="s">
        <v>1023</v>
      </c>
      <c r="H620" t="s">
        <v>1016</v>
      </c>
      <c r="I620" t="s">
        <v>1016</v>
      </c>
      <c r="J620" t="s">
        <v>1019</v>
      </c>
      <c r="K620">
        <v>149601</v>
      </c>
      <c r="L620" t="s">
        <v>1020</v>
      </c>
      <c r="M620">
        <v>61</v>
      </c>
      <c r="N620" t="s">
        <v>1021</v>
      </c>
    </row>
    <row r="621" spans="1:14" x14ac:dyDescent="0.3">
      <c r="A621" t="s">
        <v>633</v>
      </c>
      <c r="B621" t="s">
        <v>1034</v>
      </c>
      <c r="C621" t="s">
        <v>1035</v>
      </c>
      <c r="D621" s="1">
        <v>45852</v>
      </c>
      <c r="E621" s="1">
        <v>45887</v>
      </c>
      <c r="F621" t="s">
        <v>1018</v>
      </c>
      <c r="G621" t="s">
        <v>1017</v>
      </c>
      <c r="H621" t="s">
        <v>1018</v>
      </c>
      <c r="I621" t="s">
        <v>1018</v>
      </c>
      <c r="J621" t="s">
        <v>1019</v>
      </c>
      <c r="K621">
        <v>21001</v>
      </c>
      <c r="L621" t="s">
        <v>1020</v>
      </c>
      <c r="M621">
        <v>72</v>
      </c>
      <c r="N621" t="s">
        <v>1036</v>
      </c>
    </row>
    <row r="622" spans="1:14" x14ac:dyDescent="0.3">
      <c r="A622" t="s">
        <v>634</v>
      </c>
      <c r="B622" t="s">
        <v>1032</v>
      </c>
      <c r="C622" t="s">
        <v>1015</v>
      </c>
      <c r="D622" s="1">
        <v>45910</v>
      </c>
      <c r="E622" s="1">
        <v>45914</v>
      </c>
      <c r="F622" t="s">
        <v>1016</v>
      </c>
      <c r="G622" t="s">
        <v>1017</v>
      </c>
      <c r="H622" t="s">
        <v>1018</v>
      </c>
      <c r="I622" t="s">
        <v>1018</v>
      </c>
      <c r="J622" t="s">
        <v>1019</v>
      </c>
      <c r="K622">
        <v>59987</v>
      </c>
      <c r="L622" t="s">
        <v>1020</v>
      </c>
      <c r="M622">
        <v>14</v>
      </c>
      <c r="N622" t="s">
        <v>1036</v>
      </c>
    </row>
    <row r="623" spans="1:14" x14ac:dyDescent="0.3">
      <c r="A623" t="s">
        <v>635</v>
      </c>
      <c r="B623" t="s">
        <v>1037</v>
      </c>
      <c r="C623" t="s">
        <v>1035</v>
      </c>
      <c r="D623" s="1">
        <v>45928</v>
      </c>
      <c r="E623" s="1">
        <v>45969</v>
      </c>
      <c r="F623" t="s">
        <v>1018</v>
      </c>
      <c r="G623" t="s">
        <v>1017</v>
      </c>
      <c r="H623" t="s">
        <v>1018</v>
      </c>
      <c r="I623" t="s">
        <v>1018</v>
      </c>
      <c r="J623" t="s">
        <v>1019</v>
      </c>
      <c r="K623">
        <v>127569</v>
      </c>
      <c r="L623" t="s">
        <v>1020</v>
      </c>
      <c r="M623">
        <v>65</v>
      </c>
      <c r="N623" t="s">
        <v>1025</v>
      </c>
    </row>
    <row r="624" spans="1:14" x14ac:dyDescent="0.3">
      <c r="A624" t="s">
        <v>636</v>
      </c>
      <c r="B624" t="s">
        <v>1037</v>
      </c>
      <c r="C624" t="s">
        <v>1022</v>
      </c>
      <c r="D624" s="1">
        <v>45876</v>
      </c>
      <c r="E624" s="1">
        <v>45892</v>
      </c>
      <c r="F624" t="s">
        <v>1016</v>
      </c>
      <c r="G624" t="s">
        <v>1023</v>
      </c>
      <c r="H624" t="s">
        <v>1016</v>
      </c>
      <c r="I624" t="s">
        <v>1016</v>
      </c>
      <c r="J624" t="s">
        <v>1019</v>
      </c>
      <c r="K624">
        <v>179472</v>
      </c>
      <c r="L624" t="s">
        <v>1020</v>
      </c>
      <c r="M624">
        <v>52</v>
      </c>
      <c r="N624" t="s">
        <v>1021</v>
      </c>
    </row>
    <row r="625" spans="1:14" x14ac:dyDescent="0.3">
      <c r="A625" t="s">
        <v>637</v>
      </c>
      <c r="B625" t="s">
        <v>1037</v>
      </c>
      <c r="C625" t="s">
        <v>1015</v>
      </c>
      <c r="D625" s="1">
        <v>45787</v>
      </c>
      <c r="E625" s="1">
        <v>45825</v>
      </c>
      <c r="F625" t="s">
        <v>1018</v>
      </c>
      <c r="G625" t="s">
        <v>1023</v>
      </c>
      <c r="H625" t="s">
        <v>1016</v>
      </c>
      <c r="I625" t="s">
        <v>1018</v>
      </c>
      <c r="J625" t="s">
        <v>1027</v>
      </c>
      <c r="K625">
        <v>0</v>
      </c>
      <c r="L625" t="s">
        <v>1028</v>
      </c>
      <c r="M625">
        <v>66</v>
      </c>
      <c r="N625" t="s">
        <v>1021</v>
      </c>
    </row>
    <row r="626" spans="1:14" x14ac:dyDescent="0.3">
      <c r="A626" t="s">
        <v>638</v>
      </c>
      <c r="B626" t="s">
        <v>1032</v>
      </c>
      <c r="C626" t="s">
        <v>1022</v>
      </c>
      <c r="D626" s="1">
        <v>45904</v>
      </c>
      <c r="E626" s="1">
        <v>45928</v>
      </c>
      <c r="F626" t="s">
        <v>1016</v>
      </c>
      <c r="G626" t="s">
        <v>1017</v>
      </c>
      <c r="H626" t="s">
        <v>1018</v>
      </c>
      <c r="I626" t="s">
        <v>1018</v>
      </c>
      <c r="J626" t="s">
        <v>1019</v>
      </c>
      <c r="K626">
        <v>24281</v>
      </c>
      <c r="L626" t="s">
        <v>1020</v>
      </c>
      <c r="M626">
        <v>48</v>
      </c>
      <c r="N626" t="s">
        <v>1025</v>
      </c>
    </row>
    <row r="627" spans="1:14" x14ac:dyDescent="0.3">
      <c r="A627" t="s">
        <v>639</v>
      </c>
      <c r="B627" t="s">
        <v>1032</v>
      </c>
      <c r="C627" t="s">
        <v>1033</v>
      </c>
      <c r="D627" s="1">
        <v>45911</v>
      </c>
      <c r="E627" s="1">
        <v>45922</v>
      </c>
      <c r="F627" t="s">
        <v>1016</v>
      </c>
      <c r="G627" t="s">
        <v>1017</v>
      </c>
      <c r="H627" t="s">
        <v>1018</v>
      </c>
      <c r="I627" t="s">
        <v>1018</v>
      </c>
      <c r="J627" t="s">
        <v>1019</v>
      </c>
      <c r="K627">
        <v>105172</v>
      </c>
      <c r="L627" t="s">
        <v>1024</v>
      </c>
      <c r="M627">
        <v>34</v>
      </c>
      <c r="N627" t="s">
        <v>1025</v>
      </c>
    </row>
    <row r="628" spans="1:14" x14ac:dyDescent="0.3">
      <c r="A628" t="s">
        <v>640</v>
      </c>
      <c r="B628" t="s">
        <v>1032</v>
      </c>
      <c r="C628" t="s">
        <v>1035</v>
      </c>
      <c r="D628" s="1">
        <v>45972</v>
      </c>
      <c r="E628" s="1">
        <v>46009</v>
      </c>
      <c r="F628" t="s">
        <v>1018</v>
      </c>
      <c r="G628" t="s">
        <v>1027</v>
      </c>
      <c r="H628" t="s">
        <v>1018</v>
      </c>
      <c r="I628" t="s">
        <v>1018</v>
      </c>
      <c r="J628" t="s">
        <v>1027</v>
      </c>
      <c r="K628">
        <v>0</v>
      </c>
      <c r="L628" t="s">
        <v>1028</v>
      </c>
      <c r="M628">
        <v>68</v>
      </c>
      <c r="N628" t="s">
        <v>1021</v>
      </c>
    </row>
    <row r="629" spans="1:14" x14ac:dyDescent="0.3">
      <c r="A629" t="s">
        <v>641</v>
      </c>
      <c r="B629" t="s">
        <v>1037</v>
      </c>
      <c r="C629" t="s">
        <v>1035</v>
      </c>
      <c r="D629" s="1">
        <v>45865</v>
      </c>
      <c r="E629" s="1">
        <v>45878</v>
      </c>
      <c r="F629" t="s">
        <v>1016</v>
      </c>
      <c r="G629" t="s">
        <v>1027</v>
      </c>
      <c r="H629" t="s">
        <v>1018</v>
      </c>
      <c r="I629" t="s">
        <v>1018</v>
      </c>
      <c r="J629" t="s">
        <v>1027</v>
      </c>
      <c r="K629">
        <v>0</v>
      </c>
      <c r="L629" t="s">
        <v>1028</v>
      </c>
      <c r="M629">
        <v>37</v>
      </c>
      <c r="N629" t="s">
        <v>1025</v>
      </c>
    </row>
    <row r="630" spans="1:14" x14ac:dyDescent="0.3">
      <c r="A630" t="s">
        <v>642</v>
      </c>
      <c r="B630" t="s">
        <v>1014</v>
      </c>
      <c r="C630" t="s">
        <v>1035</v>
      </c>
      <c r="D630" s="1">
        <v>45781</v>
      </c>
      <c r="E630" s="1">
        <v>45797</v>
      </c>
      <c r="F630" t="s">
        <v>1016</v>
      </c>
      <c r="G630" t="s">
        <v>1023</v>
      </c>
      <c r="H630" t="s">
        <v>1016</v>
      </c>
      <c r="I630" t="s">
        <v>1016</v>
      </c>
      <c r="J630" t="s">
        <v>1019</v>
      </c>
      <c r="K630">
        <v>23705</v>
      </c>
      <c r="L630" t="s">
        <v>1020</v>
      </c>
      <c r="M630">
        <v>31</v>
      </c>
      <c r="N630" t="s">
        <v>1025</v>
      </c>
    </row>
    <row r="631" spans="1:14" x14ac:dyDescent="0.3">
      <c r="A631" t="s">
        <v>643</v>
      </c>
      <c r="B631" t="s">
        <v>1034</v>
      </c>
      <c r="C631" t="s">
        <v>1031</v>
      </c>
      <c r="D631" s="1">
        <v>45931</v>
      </c>
      <c r="E631" s="1">
        <v>45950</v>
      </c>
      <c r="F631" t="s">
        <v>1016</v>
      </c>
      <c r="G631" t="s">
        <v>1017</v>
      </c>
      <c r="H631" t="s">
        <v>1018</v>
      </c>
      <c r="I631" t="s">
        <v>1018</v>
      </c>
      <c r="J631" t="s">
        <v>1019</v>
      </c>
      <c r="K631">
        <v>92296</v>
      </c>
      <c r="L631" t="s">
        <v>1020</v>
      </c>
      <c r="M631">
        <v>36</v>
      </c>
      <c r="N631" t="s">
        <v>1025</v>
      </c>
    </row>
    <row r="632" spans="1:14" x14ac:dyDescent="0.3">
      <c r="A632" t="s">
        <v>644</v>
      </c>
      <c r="B632" t="s">
        <v>1037</v>
      </c>
      <c r="C632" t="s">
        <v>1031</v>
      </c>
      <c r="D632" s="1">
        <v>45988</v>
      </c>
      <c r="E632" s="1">
        <v>46002</v>
      </c>
      <c r="F632" t="s">
        <v>1016</v>
      </c>
      <c r="G632" t="s">
        <v>1027</v>
      </c>
      <c r="H632" t="s">
        <v>1018</v>
      </c>
      <c r="I632" t="s">
        <v>1018</v>
      </c>
      <c r="J632" t="s">
        <v>1027</v>
      </c>
      <c r="K632">
        <v>0</v>
      </c>
      <c r="L632" t="s">
        <v>1028</v>
      </c>
      <c r="M632">
        <v>39</v>
      </c>
      <c r="N632" t="s">
        <v>1025</v>
      </c>
    </row>
    <row r="633" spans="1:14" x14ac:dyDescent="0.3">
      <c r="A633" t="s">
        <v>645</v>
      </c>
      <c r="B633" t="s">
        <v>1014</v>
      </c>
      <c r="C633" t="s">
        <v>1015</v>
      </c>
      <c r="D633" s="1">
        <v>45968</v>
      </c>
      <c r="E633" s="1">
        <v>46001</v>
      </c>
      <c r="F633" t="s">
        <v>1018</v>
      </c>
      <c r="G633" t="s">
        <v>1027</v>
      </c>
      <c r="H633" t="s">
        <v>1018</v>
      </c>
      <c r="I633" t="s">
        <v>1018</v>
      </c>
      <c r="J633" t="s">
        <v>1027</v>
      </c>
      <c r="K633">
        <v>0</v>
      </c>
      <c r="L633" t="s">
        <v>1028</v>
      </c>
      <c r="M633">
        <v>58</v>
      </c>
      <c r="N633" t="s">
        <v>1036</v>
      </c>
    </row>
    <row r="634" spans="1:14" x14ac:dyDescent="0.3">
      <c r="A634" t="s">
        <v>646</v>
      </c>
      <c r="B634" t="s">
        <v>1032</v>
      </c>
      <c r="C634" t="s">
        <v>1035</v>
      </c>
      <c r="D634" s="1">
        <v>45671</v>
      </c>
      <c r="E634" s="1">
        <v>45684</v>
      </c>
      <c r="F634" t="s">
        <v>1016</v>
      </c>
      <c r="G634" t="s">
        <v>1027</v>
      </c>
      <c r="H634" t="s">
        <v>1018</v>
      </c>
      <c r="I634" t="s">
        <v>1018</v>
      </c>
      <c r="J634" t="s">
        <v>1027</v>
      </c>
      <c r="K634">
        <v>0</v>
      </c>
      <c r="L634" t="s">
        <v>1028</v>
      </c>
      <c r="M634">
        <v>45</v>
      </c>
      <c r="N634" t="s">
        <v>1030</v>
      </c>
    </row>
    <row r="635" spans="1:14" x14ac:dyDescent="0.3">
      <c r="A635" t="s">
        <v>647</v>
      </c>
      <c r="B635" t="s">
        <v>1034</v>
      </c>
      <c r="C635" t="s">
        <v>1015</v>
      </c>
      <c r="D635" s="1">
        <v>45732</v>
      </c>
      <c r="E635" s="1">
        <v>45762</v>
      </c>
      <c r="F635" t="s">
        <v>1016</v>
      </c>
      <c r="G635" t="s">
        <v>1027</v>
      </c>
      <c r="H635" t="s">
        <v>1018</v>
      </c>
      <c r="I635" t="s">
        <v>1018</v>
      </c>
      <c r="J635" t="s">
        <v>1027</v>
      </c>
      <c r="K635">
        <v>0</v>
      </c>
      <c r="L635" t="s">
        <v>1028</v>
      </c>
      <c r="M635">
        <v>41</v>
      </c>
      <c r="N635" t="s">
        <v>1025</v>
      </c>
    </row>
    <row r="636" spans="1:14" x14ac:dyDescent="0.3">
      <c r="A636" t="s">
        <v>648</v>
      </c>
      <c r="B636" t="s">
        <v>1037</v>
      </c>
      <c r="C636" t="s">
        <v>1031</v>
      </c>
      <c r="D636" s="1">
        <v>45815</v>
      </c>
      <c r="E636" s="1">
        <v>45844</v>
      </c>
      <c r="F636" t="s">
        <v>1016</v>
      </c>
      <c r="G636" t="s">
        <v>1017</v>
      </c>
      <c r="H636" t="s">
        <v>1018</v>
      </c>
      <c r="I636" t="s">
        <v>1018</v>
      </c>
      <c r="J636" t="s">
        <v>1019</v>
      </c>
      <c r="K636">
        <v>151499</v>
      </c>
      <c r="L636" t="s">
        <v>1020</v>
      </c>
      <c r="M636">
        <v>65</v>
      </c>
      <c r="N636" t="s">
        <v>1030</v>
      </c>
    </row>
    <row r="637" spans="1:14" x14ac:dyDescent="0.3">
      <c r="A637" t="s">
        <v>649</v>
      </c>
      <c r="B637" t="s">
        <v>1014</v>
      </c>
      <c r="C637" t="s">
        <v>1022</v>
      </c>
      <c r="D637" s="1">
        <v>45784</v>
      </c>
      <c r="E637" s="1">
        <v>45827</v>
      </c>
      <c r="F637" t="s">
        <v>1018</v>
      </c>
      <c r="G637" t="s">
        <v>1023</v>
      </c>
      <c r="H637" t="s">
        <v>1016</v>
      </c>
      <c r="I637" t="s">
        <v>1018</v>
      </c>
      <c r="J637" t="s">
        <v>1027</v>
      </c>
      <c r="K637">
        <v>0</v>
      </c>
      <c r="L637" t="s">
        <v>1028</v>
      </c>
      <c r="M637">
        <v>81</v>
      </c>
      <c r="N637" t="s">
        <v>1030</v>
      </c>
    </row>
    <row r="638" spans="1:14" x14ac:dyDescent="0.3">
      <c r="A638" t="s">
        <v>650</v>
      </c>
      <c r="B638" t="s">
        <v>1026</v>
      </c>
      <c r="C638" t="s">
        <v>1035</v>
      </c>
      <c r="D638" s="1">
        <v>45670</v>
      </c>
      <c r="E638" s="1">
        <v>45704</v>
      </c>
      <c r="F638" t="s">
        <v>1018</v>
      </c>
      <c r="G638" t="s">
        <v>1023</v>
      </c>
      <c r="H638" t="s">
        <v>1016</v>
      </c>
      <c r="I638" t="s">
        <v>1018</v>
      </c>
      <c r="J638" t="s">
        <v>1027</v>
      </c>
      <c r="K638">
        <v>0</v>
      </c>
      <c r="L638" t="s">
        <v>1028</v>
      </c>
      <c r="M638">
        <v>40</v>
      </c>
      <c r="N638" t="s">
        <v>1025</v>
      </c>
    </row>
    <row r="639" spans="1:14" x14ac:dyDescent="0.3">
      <c r="A639" t="s">
        <v>651</v>
      </c>
      <c r="B639" t="s">
        <v>1034</v>
      </c>
      <c r="C639" t="s">
        <v>1015</v>
      </c>
      <c r="D639" s="1">
        <v>45673</v>
      </c>
      <c r="E639" s="1">
        <v>45680</v>
      </c>
      <c r="F639" t="s">
        <v>1016</v>
      </c>
      <c r="G639" t="s">
        <v>1023</v>
      </c>
      <c r="H639" t="s">
        <v>1016</v>
      </c>
      <c r="I639" t="s">
        <v>1016</v>
      </c>
      <c r="J639" t="s">
        <v>1019</v>
      </c>
      <c r="K639">
        <v>201990</v>
      </c>
      <c r="L639" t="s">
        <v>1020</v>
      </c>
      <c r="M639">
        <v>44</v>
      </c>
      <c r="N639" t="s">
        <v>1021</v>
      </c>
    </row>
    <row r="640" spans="1:14" x14ac:dyDescent="0.3">
      <c r="A640" t="s">
        <v>652</v>
      </c>
      <c r="B640" t="s">
        <v>1029</v>
      </c>
      <c r="C640" t="s">
        <v>1031</v>
      </c>
      <c r="D640" s="1">
        <v>45804</v>
      </c>
      <c r="E640" s="1">
        <v>45813</v>
      </c>
      <c r="F640" t="s">
        <v>1016</v>
      </c>
      <c r="G640" t="s">
        <v>1017</v>
      </c>
      <c r="H640" t="s">
        <v>1018</v>
      </c>
      <c r="I640" t="s">
        <v>1018</v>
      </c>
      <c r="J640" t="s">
        <v>1019</v>
      </c>
      <c r="K640">
        <v>181239</v>
      </c>
      <c r="L640" t="s">
        <v>1020</v>
      </c>
      <c r="M640">
        <v>15</v>
      </c>
      <c r="N640" t="s">
        <v>1036</v>
      </c>
    </row>
    <row r="641" spans="1:14" x14ac:dyDescent="0.3">
      <c r="A641" t="s">
        <v>653</v>
      </c>
      <c r="B641" t="s">
        <v>1014</v>
      </c>
      <c r="C641" t="s">
        <v>1031</v>
      </c>
      <c r="D641" s="1">
        <v>45685</v>
      </c>
      <c r="E641" s="1">
        <v>45717</v>
      </c>
      <c r="F641" t="s">
        <v>1018</v>
      </c>
      <c r="G641" t="s">
        <v>1027</v>
      </c>
      <c r="H641" t="s">
        <v>1018</v>
      </c>
      <c r="I641" t="s">
        <v>1018</v>
      </c>
      <c r="J641" t="s">
        <v>1027</v>
      </c>
      <c r="K641">
        <v>0</v>
      </c>
      <c r="L641" t="s">
        <v>1028</v>
      </c>
      <c r="M641">
        <v>51</v>
      </c>
      <c r="N641" t="s">
        <v>1025</v>
      </c>
    </row>
    <row r="642" spans="1:14" x14ac:dyDescent="0.3">
      <c r="A642" t="s">
        <v>654</v>
      </c>
      <c r="B642" t="s">
        <v>1029</v>
      </c>
      <c r="C642" t="s">
        <v>1022</v>
      </c>
      <c r="D642" s="1">
        <v>45816</v>
      </c>
      <c r="E642" s="1">
        <v>45853</v>
      </c>
      <c r="F642" t="s">
        <v>1018</v>
      </c>
      <c r="G642" t="s">
        <v>1027</v>
      </c>
      <c r="H642" t="s">
        <v>1018</v>
      </c>
      <c r="I642" t="s">
        <v>1018</v>
      </c>
      <c r="J642" t="s">
        <v>1027</v>
      </c>
      <c r="K642">
        <v>0</v>
      </c>
      <c r="L642" t="s">
        <v>1028</v>
      </c>
      <c r="M642">
        <v>74</v>
      </c>
      <c r="N642" t="s">
        <v>1030</v>
      </c>
    </row>
    <row r="643" spans="1:14" x14ac:dyDescent="0.3">
      <c r="A643" t="s">
        <v>655</v>
      </c>
      <c r="B643" t="s">
        <v>1034</v>
      </c>
      <c r="C643" t="s">
        <v>1033</v>
      </c>
      <c r="D643" s="1">
        <v>45706</v>
      </c>
      <c r="E643" s="1">
        <v>45726</v>
      </c>
      <c r="F643" t="s">
        <v>1016</v>
      </c>
      <c r="G643" t="s">
        <v>1017</v>
      </c>
      <c r="H643" t="s">
        <v>1018</v>
      </c>
      <c r="I643" t="s">
        <v>1018</v>
      </c>
      <c r="J643" t="s">
        <v>1019</v>
      </c>
      <c r="K643">
        <v>80656</v>
      </c>
      <c r="L643" t="s">
        <v>1020</v>
      </c>
      <c r="M643">
        <v>60</v>
      </c>
      <c r="N643" t="s">
        <v>1030</v>
      </c>
    </row>
    <row r="644" spans="1:14" x14ac:dyDescent="0.3">
      <c r="A644" t="s">
        <v>656</v>
      </c>
      <c r="B644" t="s">
        <v>1014</v>
      </c>
      <c r="C644" t="s">
        <v>1035</v>
      </c>
      <c r="D644" s="1">
        <v>45924</v>
      </c>
      <c r="E644" s="1">
        <v>45938</v>
      </c>
      <c r="F644" t="s">
        <v>1016</v>
      </c>
      <c r="G644" t="s">
        <v>1023</v>
      </c>
      <c r="H644" t="s">
        <v>1016</v>
      </c>
      <c r="I644" t="s">
        <v>1016</v>
      </c>
      <c r="J644" t="s">
        <v>1019</v>
      </c>
      <c r="K644">
        <v>31519</v>
      </c>
      <c r="L644" t="s">
        <v>1020</v>
      </c>
      <c r="M644">
        <v>47</v>
      </c>
      <c r="N644" t="s">
        <v>1030</v>
      </c>
    </row>
    <row r="645" spans="1:14" x14ac:dyDescent="0.3">
      <c r="A645" t="s">
        <v>657</v>
      </c>
      <c r="B645" t="s">
        <v>1032</v>
      </c>
      <c r="C645" t="s">
        <v>1033</v>
      </c>
      <c r="D645" s="1">
        <v>45801</v>
      </c>
      <c r="E645" s="1">
        <v>45826</v>
      </c>
      <c r="F645" t="s">
        <v>1016</v>
      </c>
      <c r="G645" t="s">
        <v>1027</v>
      </c>
      <c r="H645" t="s">
        <v>1018</v>
      </c>
      <c r="I645" t="s">
        <v>1018</v>
      </c>
      <c r="J645" t="s">
        <v>1027</v>
      </c>
      <c r="K645">
        <v>0</v>
      </c>
      <c r="L645" t="s">
        <v>1028</v>
      </c>
      <c r="M645">
        <v>65</v>
      </c>
      <c r="N645" t="s">
        <v>1036</v>
      </c>
    </row>
    <row r="646" spans="1:14" x14ac:dyDescent="0.3">
      <c r="A646" t="s">
        <v>658</v>
      </c>
      <c r="B646" t="s">
        <v>1037</v>
      </c>
      <c r="C646" t="s">
        <v>1031</v>
      </c>
      <c r="D646" s="1">
        <v>45696</v>
      </c>
      <c r="E646" s="1">
        <v>45717</v>
      </c>
      <c r="F646" t="s">
        <v>1016</v>
      </c>
      <c r="G646" t="s">
        <v>1023</v>
      </c>
      <c r="H646" t="s">
        <v>1016</v>
      </c>
      <c r="I646" t="s">
        <v>1016</v>
      </c>
      <c r="J646" t="s">
        <v>1019</v>
      </c>
      <c r="K646">
        <v>173127</v>
      </c>
      <c r="L646" t="s">
        <v>1020</v>
      </c>
      <c r="M646">
        <v>46</v>
      </c>
      <c r="N646" t="s">
        <v>1036</v>
      </c>
    </row>
    <row r="647" spans="1:14" x14ac:dyDescent="0.3">
      <c r="A647" t="s">
        <v>659</v>
      </c>
      <c r="B647" t="s">
        <v>1032</v>
      </c>
      <c r="C647" t="s">
        <v>1015</v>
      </c>
      <c r="D647" s="1">
        <v>45842</v>
      </c>
      <c r="E647" s="1">
        <v>45866</v>
      </c>
      <c r="F647" t="s">
        <v>1016</v>
      </c>
      <c r="G647" t="s">
        <v>1027</v>
      </c>
      <c r="H647" t="s">
        <v>1018</v>
      </c>
      <c r="I647" t="s">
        <v>1018</v>
      </c>
      <c r="J647" t="s">
        <v>1027</v>
      </c>
      <c r="K647">
        <v>0</v>
      </c>
      <c r="L647" t="s">
        <v>1028</v>
      </c>
      <c r="M647">
        <v>39</v>
      </c>
      <c r="N647" t="s">
        <v>1030</v>
      </c>
    </row>
    <row r="648" spans="1:14" x14ac:dyDescent="0.3">
      <c r="A648" t="s">
        <v>660</v>
      </c>
      <c r="B648" t="s">
        <v>1034</v>
      </c>
      <c r="C648" t="s">
        <v>1022</v>
      </c>
      <c r="D648" s="1">
        <v>45706</v>
      </c>
      <c r="E648" s="1">
        <v>45716</v>
      </c>
      <c r="F648" t="s">
        <v>1016</v>
      </c>
      <c r="G648" t="s">
        <v>1027</v>
      </c>
      <c r="H648" t="s">
        <v>1018</v>
      </c>
      <c r="I648" t="s">
        <v>1018</v>
      </c>
      <c r="J648" t="s">
        <v>1027</v>
      </c>
      <c r="K648">
        <v>0</v>
      </c>
      <c r="L648" t="s">
        <v>1028</v>
      </c>
      <c r="M648">
        <v>34</v>
      </c>
      <c r="N648" t="s">
        <v>1025</v>
      </c>
    </row>
    <row r="649" spans="1:14" x14ac:dyDescent="0.3">
      <c r="A649" t="s">
        <v>661</v>
      </c>
      <c r="B649" t="s">
        <v>1037</v>
      </c>
      <c r="C649" t="s">
        <v>1033</v>
      </c>
      <c r="D649" s="1">
        <v>45881</v>
      </c>
      <c r="E649" s="1">
        <v>45924</v>
      </c>
      <c r="F649" t="s">
        <v>1018</v>
      </c>
      <c r="G649" t="s">
        <v>1017</v>
      </c>
      <c r="H649" t="s">
        <v>1018</v>
      </c>
      <c r="I649" t="s">
        <v>1018</v>
      </c>
      <c r="J649" t="s">
        <v>1019</v>
      </c>
      <c r="K649">
        <v>120765</v>
      </c>
      <c r="L649" t="s">
        <v>1024</v>
      </c>
      <c r="M649">
        <v>56</v>
      </c>
      <c r="N649" t="s">
        <v>1025</v>
      </c>
    </row>
    <row r="650" spans="1:14" x14ac:dyDescent="0.3">
      <c r="A650" t="s">
        <v>662</v>
      </c>
      <c r="B650" t="s">
        <v>1032</v>
      </c>
      <c r="C650" t="s">
        <v>1031</v>
      </c>
      <c r="D650" s="1">
        <v>45908</v>
      </c>
      <c r="E650" s="1">
        <v>45917</v>
      </c>
      <c r="F650" t="s">
        <v>1016</v>
      </c>
      <c r="G650" t="s">
        <v>1017</v>
      </c>
      <c r="H650" t="s">
        <v>1018</v>
      </c>
      <c r="I650" t="s">
        <v>1018</v>
      </c>
      <c r="J650" t="s">
        <v>1019</v>
      </c>
      <c r="K650">
        <v>81565</v>
      </c>
      <c r="L650" t="s">
        <v>1020</v>
      </c>
      <c r="M650">
        <v>38</v>
      </c>
      <c r="N650" t="s">
        <v>1021</v>
      </c>
    </row>
    <row r="651" spans="1:14" x14ac:dyDescent="0.3">
      <c r="A651" t="s">
        <v>663</v>
      </c>
      <c r="B651" t="s">
        <v>1029</v>
      </c>
      <c r="C651" t="s">
        <v>1033</v>
      </c>
      <c r="D651" s="1">
        <v>45716</v>
      </c>
      <c r="E651" s="1">
        <v>45722</v>
      </c>
      <c r="F651" t="s">
        <v>1016</v>
      </c>
      <c r="G651" t="s">
        <v>1017</v>
      </c>
      <c r="H651" t="s">
        <v>1018</v>
      </c>
      <c r="I651" t="s">
        <v>1018</v>
      </c>
      <c r="J651" t="s">
        <v>1019</v>
      </c>
      <c r="K651">
        <v>71908</v>
      </c>
      <c r="L651" t="s">
        <v>1020</v>
      </c>
      <c r="M651">
        <v>29</v>
      </c>
      <c r="N651" t="s">
        <v>1036</v>
      </c>
    </row>
    <row r="652" spans="1:14" x14ac:dyDescent="0.3">
      <c r="A652" t="s">
        <v>664</v>
      </c>
      <c r="B652" t="s">
        <v>1026</v>
      </c>
      <c r="C652" t="s">
        <v>1022</v>
      </c>
      <c r="D652" s="1">
        <v>45721</v>
      </c>
      <c r="E652" s="1">
        <v>45746</v>
      </c>
      <c r="F652" t="s">
        <v>1016</v>
      </c>
      <c r="G652" t="s">
        <v>1023</v>
      </c>
      <c r="H652" t="s">
        <v>1016</v>
      </c>
      <c r="I652" t="s">
        <v>1016</v>
      </c>
      <c r="J652" t="s">
        <v>1019</v>
      </c>
      <c r="K652">
        <v>93554</v>
      </c>
      <c r="L652" t="s">
        <v>1020</v>
      </c>
      <c r="M652">
        <v>50</v>
      </c>
      <c r="N652" t="s">
        <v>1030</v>
      </c>
    </row>
    <row r="653" spans="1:14" x14ac:dyDescent="0.3">
      <c r="A653" t="s">
        <v>665</v>
      </c>
      <c r="B653" t="s">
        <v>1026</v>
      </c>
      <c r="C653" t="s">
        <v>1033</v>
      </c>
      <c r="D653" s="1">
        <v>45696</v>
      </c>
      <c r="E653" s="1">
        <v>45712</v>
      </c>
      <c r="F653" t="s">
        <v>1016</v>
      </c>
      <c r="G653" t="s">
        <v>1027</v>
      </c>
      <c r="H653" t="s">
        <v>1018</v>
      </c>
      <c r="I653" t="s">
        <v>1018</v>
      </c>
      <c r="J653" t="s">
        <v>1027</v>
      </c>
      <c r="K653">
        <v>0</v>
      </c>
      <c r="L653" t="s">
        <v>1028</v>
      </c>
      <c r="M653">
        <v>31</v>
      </c>
      <c r="N653" t="s">
        <v>1025</v>
      </c>
    </row>
    <row r="654" spans="1:14" x14ac:dyDescent="0.3">
      <c r="A654" t="s">
        <v>666</v>
      </c>
      <c r="B654" t="s">
        <v>1032</v>
      </c>
      <c r="C654" t="s">
        <v>1022</v>
      </c>
      <c r="D654" s="1">
        <v>45872</v>
      </c>
      <c r="E654" s="1">
        <v>45907</v>
      </c>
      <c r="F654" t="s">
        <v>1018</v>
      </c>
      <c r="G654" t="s">
        <v>1017</v>
      </c>
      <c r="H654" t="s">
        <v>1018</v>
      </c>
      <c r="I654" t="s">
        <v>1018</v>
      </c>
      <c r="J654" t="s">
        <v>1019</v>
      </c>
      <c r="K654">
        <v>195083</v>
      </c>
      <c r="L654" t="s">
        <v>1020</v>
      </c>
      <c r="M654">
        <v>68</v>
      </c>
      <c r="N654" t="s">
        <v>1030</v>
      </c>
    </row>
    <row r="655" spans="1:14" x14ac:dyDescent="0.3">
      <c r="A655" t="s">
        <v>667</v>
      </c>
      <c r="B655" t="s">
        <v>1032</v>
      </c>
      <c r="C655" t="s">
        <v>1015</v>
      </c>
      <c r="D655" s="1">
        <v>45842</v>
      </c>
      <c r="E655" s="1">
        <v>45848</v>
      </c>
      <c r="F655" t="s">
        <v>1016</v>
      </c>
      <c r="G655" t="s">
        <v>1017</v>
      </c>
      <c r="H655" t="s">
        <v>1018</v>
      </c>
      <c r="I655" t="s">
        <v>1018</v>
      </c>
      <c r="J655" t="s">
        <v>1019</v>
      </c>
      <c r="K655">
        <v>94398</v>
      </c>
      <c r="L655" t="s">
        <v>1024</v>
      </c>
      <c r="M655">
        <v>26</v>
      </c>
      <c r="N655" t="s">
        <v>1036</v>
      </c>
    </row>
    <row r="656" spans="1:14" x14ac:dyDescent="0.3">
      <c r="A656" t="s">
        <v>668</v>
      </c>
      <c r="B656" t="s">
        <v>1029</v>
      </c>
      <c r="C656" t="s">
        <v>1022</v>
      </c>
      <c r="D656" s="1">
        <v>46016</v>
      </c>
      <c r="E656" s="1">
        <v>46035</v>
      </c>
      <c r="F656" t="s">
        <v>1016</v>
      </c>
      <c r="G656" t="s">
        <v>1017</v>
      </c>
      <c r="H656" t="s">
        <v>1018</v>
      </c>
      <c r="I656" t="s">
        <v>1018</v>
      </c>
      <c r="J656" t="s">
        <v>1019</v>
      </c>
      <c r="K656">
        <v>168410</v>
      </c>
      <c r="L656" t="s">
        <v>1020</v>
      </c>
      <c r="M656">
        <v>53</v>
      </c>
      <c r="N656" t="s">
        <v>1021</v>
      </c>
    </row>
    <row r="657" spans="1:14" x14ac:dyDescent="0.3">
      <c r="A657" t="s">
        <v>669</v>
      </c>
      <c r="B657" t="s">
        <v>1032</v>
      </c>
      <c r="C657" t="s">
        <v>1033</v>
      </c>
      <c r="D657" s="1">
        <v>45733</v>
      </c>
      <c r="E657" s="1">
        <v>45759</v>
      </c>
      <c r="F657" t="s">
        <v>1016</v>
      </c>
      <c r="G657" t="s">
        <v>1017</v>
      </c>
      <c r="H657" t="s">
        <v>1018</v>
      </c>
      <c r="I657" t="s">
        <v>1018</v>
      </c>
      <c r="J657" t="s">
        <v>1019</v>
      </c>
      <c r="K657">
        <v>122479</v>
      </c>
      <c r="L657" t="s">
        <v>1020</v>
      </c>
      <c r="M657">
        <v>62</v>
      </c>
      <c r="N657" t="s">
        <v>1025</v>
      </c>
    </row>
    <row r="658" spans="1:14" x14ac:dyDescent="0.3">
      <c r="A658" t="s">
        <v>670</v>
      </c>
      <c r="B658" t="s">
        <v>1014</v>
      </c>
      <c r="C658" t="s">
        <v>1031</v>
      </c>
      <c r="D658" s="1">
        <v>45953</v>
      </c>
      <c r="E658" s="1">
        <v>45982</v>
      </c>
      <c r="F658" t="s">
        <v>1016</v>
      </c>
      <c r="G658" t="s">
        <v>1027</v>
      </c>
      <c r="H658" t="s">
        <v>1018</v>
      </c>
      <c r="I658" t="s">
        <v>1018</v>
      </c>
      <c r="J658" t="s">
        <v>1027</v>
      </c>
      <c r="K658">
        <v>0</v>
      </c>
      <c r="L658" t="s">
        <v>1028</v>
      </c>
      <c r="M658">
        <v>48</v>
      </c>
      <c r="N658" t="s">
        <v>1021</v>
      </c>
    </row>
    <row r="659" spans="1:14" x14ac:dyDescent="0.3">
      <c r="A659" t="s">
        <v>671</v>
      </c>
      <c r="B659" t="s">
        <v>1032</v>
      </c>
      <c r="C659" t="s">
        <v>1022</v>
      </c>
      <c r="D659" s="1">
        <v>45709</v>
      </c>
      <c r="E659" s="1">
        <v>45736</v>
      </c>
      <c r="F659" t="s">
        <v>1016</v>
      </c>
      <c r="G659" t="s">
        <v>1027</v>
      </c>
      <c r="H659" t="s">
        <v>1018</v>
      </c>
      <c r="I659" t="s">
        <v>1018</v>
      </c>
      <c r="J659" t="s">
        <v>1027</v>
      </c>
      <c r="K659">
        <v>0</v>
      </c>
      <c r="L659" t="s">
        <v>1028</v>
      </c>
      <c r="M659">
        <v>65</v>
      </c>
      <c r="N659" t="s">
        <v>1036</v>
      </c>
    </row>
    <row r="660" spans="1:14" x14ac:dyDescent="0.3">
      <c r="A660" t="s">
        <v>672</v>
      </c>
      <c r="B660" t="s">
        <v>1032</v>
      </c>
      <c r="C660" t="s">
        <v>1033</v>
      </c>
      <c r="D660" s="1">
        <v>46009</v>
      </c>
      <c r="E660" s="1">
        <v>46027</v>
      </c>
      <c r="F660" t="s">
        <v>1016</v>
      </c>
      <c r="G660" t="s">
        <v>1027</v>
      </c>
      <c r="H660" t="s">
        <v>1018</v>
      </c>
      <c r="I660" t="s">
        <v>1018</v>
      </c>
      <c r="J660" t="s">
        <v>1027</v>
      </c>
      <c r="K660">
        <v>0</v>
      </c>
      <c r="L660" t="s">
        <v>1028</v>
      </c>
      <c r="M660">
        <v>26</v>
      </c>
      <c r="N660" t="s">
        <v>1036</v>
      </c>
    </row>
    <row r="661" spans="1:14" x14ac:dyDescent="0.3">
      <c r="A661" t="s">
        <v>673</v>
      </c>
      <c r="B661" t="s">
        <v>1014</v>
      </c>
      <c r="C661" t="s">
        <v>1022</v>
      </c>
      <c r="D661" s="1">
        <v>45711</v>
      </c>
      <c r="E661" s="1">
        <v>45755</v>
      </c>
      <c r="F661" t="s">
        <v>1018</v>
      </c>
      <c r="G661" t="s">
        <v>1023</v>
      </c>
      <c r="H661" t="s">
        <v>1016</v>
      </c>
      <c r="I661" t="s">
        <v>1018</v>
      </c>
      <c r="J661" t="s">
        <v>1027</v>
      </c>
      <c r="K661">
        <v>0</v>
      </c>
      <c r="L661" t="s">
        <v>1028</v>
      </c>
      <c r="M661">
        <v>54</v>
      </c>
      <c r="N661" t="s">
        <v>1025</v>
      </c>
    </row>
    <row r="662" spans="1:14" x14ac:dyDescent="0.3">
      <c r="A662" t="s">
        <v>674</v>
      </c>
      <c r="B662" t="s">
        <v>1026</v>
      </c>
      <c r="C662" t="s">
        <v>1033</v>
      </c>
      <c r="D662" s="1">
        <v>45775</v>
      </c>
      <c r="E662" s="1">
        <v>45815</v>
      </c>
      <c r="F662" t="s">
        <v>1018</v>
      </c>
      <c r="G662" t="s">
        <v>1027</v>
      </c>
      <c r="H662" t="s">
        <v>1018</v>
      </c>
      <c r="I662" t="s">
        <v>1018</v>
      </c>
      <c r="J662" t="s">
        <v>1027</v>
      </c>
      <c r="K662">
        <v>0</v>
      </c>
      <c r="L662" t="s">
        <v>1028</v>
      </c>
      <c r="M662">
        <v>48</v>
      </c>
      <c r="N662" t="s">
        <v>1025</v>
      </c>
    </row>
    <row r="663" spans="1:14" x14ac:dyDescent="0.3">
      <c r="A663" t="s">
        <v>675</v>
      </c>
      <c r="B663" t="s">
        <v>1032</v>
      </c>
      <c r="C663" t="s">
        <v>1015</v>
      </c>
      <c r="D663" s="1">
        <v>45835</v>
      </c>
      <c r="E663" s="1">
        <v>45878</v>
      </c>
      <c r="F663" t="s">
        <v>1018</v>
      </c>
      <c r="G663" t="s">
        <v>1017</v>
      </c>
      <c r="H663" t="s">
        <v>1018</v>
      </c>
      <c r="I663" t="s">
        <v>1018</v>
      </c>
      <c r="J663" t="s">
        <v>1019</v>
      </c>
      <c r="K663">
        <v>6298</v>
      </c>
      <c r="L663" t="s">
        <v>1020</v>
      </c>
      <c r="M663">
        <v>50</v>
      </c>
      <c r="N663" t="s">
        <v>1030</v>
      </c>
    </row>
    <row r="664" spans="1:14" x14ac:dyDescent="0.3">
      <c r="A664" t="s">
        <v>676</v>
      </c>
      <c r="B664" t="s">
        <v>1014</v>
      </c>
      <c r="C664" t="s">
        <v>1022</v>
      </c>
      <c r="D664" s="1">
        <v>45882</v>
      </c>
      <c r="E664" s="1">
        <v>45910</v>
      </c>
      <c r="F664" t="s">
        <v>1016</v>
      </c>
      <c r="G664" t="s">
        <v>1027</v>
      </c>
      <c r="H664" t="s">
        <v>1018</v>
      </c>
      <c r="I664" t="s">
        <v>1018</v>
      </c>
      <c r="J664" t="s">
        <v>1027</v>
      </c>
      <c r="K664">
        <v>0</v>
      </c>
      <c r="L664" t="s">
        <v>1028</v>
      </c>
      <c r="M664">
        <v>52</v>
      </c>
      <c r="N664" t="s">
        <v>1030</v>
      </c>
    </row>
    <row r="665" spans="1:14" x14ac:dyDescent="0.3">
      <c r="A665" t="s">
        <v>677</v>
      </c>
      <c r="B665" t="s">
        <v>1037</v>
      </c>
      <c r="C665" t="s">
        <v>1033</v>
      </c>
      <c r="D665" s="1">
        <v>45935</v>
      </c>
      <c r="E665" s="1">
        <v>45951</v>
      </c>
      <c r="F665" t="s">
        <v>1016</v>
      </c>
      <c r="G665" t="s">
        <v>1027</v>
      </c>
      <c r="H665" t="s">
        <v>1018</v>
      </c>
      <c r="I665" t="s">
        <v>1018</v>
      </c>
      <c r="J665" t="s">
        <v>1027</v>
      </c>
      <c r="K665">
        <v>0</v>
      </c>
      <c r="L665" t="s">
        <v>1028</v>
      </c>
      <c r="M665">
        <v>21</v>
      </c>
      <c r="N665" t="s">
        <v>1036</v>
      </c>
    </row>
    <row r="666" spans="1:14" x14ac:dyDescent="0.3">
      <c r="A666" t="s">
        <v>678</v>
      </c>
      <c r="B666" t="s">
        <v>1029</v>
      </c>
      <c r="C666" t="s">
        <v>1022</v>
      </c>
      <c r="D666" s="1">
        <v>45973</v>
      </c>
      <c r="E666" s="1">
        <v>46005</v>
      </c>
      <c r="F666" t="s">
        <v>1018</v>
      </c>
      <c r="G666" t="s">
        <v>1023</v>
      </c>
      <c r="H666" t="s">
        <v>1016</v>
      </c>
      <c r="I666" t="s">
        <v>1016</v>
      </c>
      <c r="J666" t="s">
        <v>1019</v>
      </c>
      <c r="K666">
        <v>12443</v>
      </c>
      <c r="L666" t="s">
        <v>1020</v>
      </c>
      <c r="M666">
        <v>63</v>
      </c>
      <c r="N666" t="s">
        <v>1025</v>
      </c>
    </row>
    <row r="667" spans="1:14" x14ac:dyDescent="0.3">
      <c r="A667" t="s">
        <v>679</v>
      </c>
      <c r="B667" t="s">
        <v>1034</v>
      </c>
      <c r="C667" t="s">
        <v>1035</v>
      </c>
      <c r="D667" s="1">
        <v>45906</v>
      </c>
      <c r="E667" s="1">
        <v>45931</v>
      </c>
      <c r="F667" t="s">
        <v>1016</v>
      </c>
      <c r="G667" t="s">
        <v>1027</v>
      </c>
      <c r="H667" t="s">
        <v>1018</v>
      </c>
      <c r="I667" t="s">
        <v>1018</v>
      </c>
      <c r="J667" t="s">
        <v>1027</v>
      </c>
      <c r="K667">
        <v>0</v>
      </c>
      <c r="L667" t="s">
        <v>1028</v>
      </c>
      <c r="M667">
        <v>31</v>
      </c>
      <c r="N667" t="s">
        <v>1025</v>
      </c>
    </row>
    <row r="668" spans="1:14" x14ac:dyDescent="0.3">
      <c r="A668" t="s">
        <v>680</v>
      </c>
      <c r="B668" t="s">
        <v>1014</v>
      </c>
      <c r="C668" t="s">
        <v>1022</v>
      </c>
      <c r="D668" s="1">
        <v>45675</v>
      </c>
      <c r="E668" s="1">
        <v>45684</v>
      </c>
      <c r="F668" t="s">
        <v>1016</v>
      </c>
      <c r="G668" t="s">
        <v>1027</v>
      </c>
      <c r="H668" t="s">
        <v>1018</v>
      </c>
      <c r="I668" t="s">
        <v>1018</v>
      </c>
      <c r="J668" t="s">
        <v>1027</v>
      </c>
      <c r="K668">
        <v>0</v>
      </c>
      <c r="L668" t="s">
        <v>1028</v>
      </c>
      <c r="M668">
        <v>31</v>
      </c>
      <c r="N668" t="s">
        <v>1036</v>
      </c>
    </row>
    <row r="669" spans="1:14" x14ac:dyDescent="0.3">
      <c r="A669" t="s">
        <v>681</v>
      </c>
      <c r="B669" t="s">
        <v>1032</v>
      </c>
      <c r="C669" t="s">
        <v>1031</v>
      </c>
      <c r="D669" s="1">
        <v>45695</v>
      </c>
      <c r="E669" s="1">
        <v>45715</v>
      </c>
      <c r="F669" t="s">
        <v>1016</v>
      </c>
      <c r="G669" t="s">
        <v>1017</v>
      </c>
      <c r="H669" t="s">
        <v>1018</v>
      </c>
      <c r="I669" t="s">
        <v>1018</v>
      </c>
      <c r="J669" t="s">
        <v>1019</v>
      </c>
      <c r="K669">
        <v>138894</v>
      </c>
      <c r="L669" t="s">
        <v>1020</v>
      </c>
      <c r="M669">
        <v>51</v>
      </c>
      <c r="N669" t="s">
        <v>1021</v>
      </c>
    </row>
    <row r="670" spans="1:14" x14ac:dyDescent="0.3">
      <c r="A670" t="s">
        <v>682</v>
      </c>
      <c r="B670" t="s">
        <v>1014</v>
      </c>
      <c r="C670" t="s">
        <v>1033</v>
      </c>
      <c r="D670" s="1">
        <v>45794</v>
      </c>
      <c r="E670" s="1">
        <v>45801</v>
      </c>
      <c r="F670" t="s">
        <v>1016</v>
      </c>
      <c r="G670" t="s">
        <v>1023</v>
      </c>
      <c r="H670" t="s">
        <v>1016</v>
      </c>
      <c r="I670" t="s">
        <v>1018</v>
      </c>
      <c r="J670" t="s">
        <v>1027</v>
      </c>
      <c r="K670">
        <v>0</v>
      </c>
      <c r="L670" t="s">
        <v>1028</v>
      </c>
      <c r="M670">
        <v>39</v>
      </c>
      <c r="N670" t="s">
        <v>1025</v>
      </c>
    </row>
    <row r="671" spans="1:14" x14ac:dyDescent="0.3">
      <c r="A671" t="s">
        <v>683</v>
      </c>
      <c r="B671" t="s">
        <v>1037</v>
      </c>
      <c r="C671" t="s">
        <v>1022</v>
      </c>
      <c r="D671" s="1">
        <v>45996</v>
      </c>
      <c r="E671" s="1">
        <v>46031</v>
      </c>
      <c r="F671" t="s">
        <v>1018</v>
      </c>
      <c r="G671" t="s">
        <v>1027</v>
      </c>
      <c r="H671" t="s">
        <v>1018</v>
      </c>
      <c r="I671" t="s">
        <v>1018</v>
      </c>
      <c r="J671" t="s">
        <v>1027</v>
      </c>
      <c r="K671">
        <v>0</v>
      </c>
      <c r="L671" t="s">
        <v>1028</v>
      </c>
      <c r="M671">
        <v>66</v>
      </c>
      <c r="N671" t="s">
        <v>1036</v>
      </c>
    </row>
    <row r="672" spans="1:14" x14ac:dyDescent="0.3">
      <c r="A672" t="s">
        <v>684</v>
      </c>
      <c r="B672" t="s">
        <v>1037</v>
      </c>
      <c r="C672" t="s">
        <v>1015</v>
      </c>
      <c r="D672" s="1">
        <v>45789</v>
      </c>
      <c r="E672" s="1">
        <v>45833</v>
      </c>
      <c r="F672" t="s">
        <v>1018</v>
      </c>
      <c r="G672" t="s">
        <v>1023</v>
      </c>
      <c r="H672" t="s">
        <v>1016</v>
      </c>
      <c r="I672" t="s">
        <v>1018</v>
      </c>
      <c r="J672" t="s">
        <v>1027</v>
      </c>
      <c r="K672">
        <v>0</v>
      </c>
      <c r="L672" t="s">
        <v>1028</v>
      </c>
      <c r="M672">
        <v>78</v>
      </c>
      <c r="N672" t="s">
        <v>1030</v>
      </c>
    </row>
    <row r="673" spans="1:14" x14ac:dyDescent="0.3">
      <c r="A673" t="s">
        <v>685</v>
      </c>
      <c r="B673" t="s">
        <v>1034</v>
      </c>
      <c r="C673" t="s">
        <v>1033</v>
      </c>
      <c r="D673" s="1">
        <v>45975</v>
      </c>
      <c r="E673" s="1">
        <v>45998</v>
      </c>
      <c r="F673" t="s">
        <v>1016</v>
      </c>
      <c r="G673" t="s">
        <v>1027</v>
      </c>
      <c r="H673" t="s">
        <v>1018</v>
      </c>
      <c r="I673" t="s">
        <v>1018</v>
      </c>
      <c r="J673" t="s">
        <v>1027</v>
      </c>
      <c r="K673">
        <v>0</v>
      </c>
      <c r="L673" t="s">
        <v>1028</v>
      </c>
      <c r="M673">
        <v>31</v>
      </c>
      <c r="N673" t="s">
        <v>1030</v>
      </c>
    </row>
    <row r="674" spans="1:14" x14ac:dyDescent="0.3">
      <c r="A674" t="s">
        <v>686</v>
      </c>
      <c r="B674" t="s">
        <v>1014</v>
      </c>
      <c r="C674" t="s">
        <v>1035</v>
      </c>
      <c r="D674" s="1">
        <v>45986</v>
      </c>
      <c r="E674" s="1">
        <v>45993</v>
      </c>
      <c r="F674" t="s">
        <v>1016</v>
      </c>
      <c r="G674" t="s">
        <v>1023</v>
      </c>
      <c r="H674" t="s">
        <v>1016</v>
      </c>
      <c r="I674" t="s">
        <v>1016</v>
      </c>
      <c r="J674" t="s">
        <v>1019</v>
      </c>
      <c r="K674">
        <v>78465</v>
      </c>
      <c r="L674" t="s">
        <v>1024</v>
      </c>
      <c r="M674">
        <v>44</v>
      </c>
      <c r="N674" t="s">
        <v>1036</v>
      </c>
    </row>
    <row r="675" spans="1:14" x14ac:dyDescent="0.3">
      <c r="A675" t="s">
        <v>687</v>
      </c>
      <c r="B675" t="s">
        <v>1037</v>
      </c>
      <c r="C675" t="s">
        <v>1022</v>
      </c>
      <c r="D675" s="1">
        <v>45785</v>
      </c>
      <c r="E675" s="1">
        <v>45801</v>
      </c>
      <c r="F675" t="s">
        <v>1016</v>
      </c>
      <c r="G675" t="s">
        <v>1017</v>
      </c>
      <c r="H675" t="s">
        <v>1018</v>
      </c>
      <c r="I675" t="s">
        <v>1018</v>
      </c>
      <c r="J675" t="s">
        <v>1019</v>
      </c>
      <c r="K675">
        <v>196093</v>
      </c>
      <c r="L675" t="s">
        <v>1020</v>
      </c>
      <c r="M675">
        <v>30</v>
      </c>
      <c r="N675" t="s">
        <v>1025</v>
      </c>
    </row>
    <row r="676" spans="1:14" x14ac:dyDescent="0.3">
      <c r="A676" t="s">
        <v>688</v>
      </c>
      <c r="B676" t="s">
        <v>1034</v>
      </c>
      <c r="C676" t="s">
        <v>1031</v>
      </c>
      <c r="D676" s="1">
        <v>45781</v>
      </c>
      <c r="E676" s="1">
        <v>45788</v>
      </c>
      <c r="F676" t="s">
        <v>1016</v>
      </c>
      <c r="G676" t="s">
        <v>1023</v>
      </c>
      <c r="H676" t="s">
        <v>1016</v>
      </c>
      <c r="I676" t="s">
        <v>1016</v>
      </c>
      <c r="J676" t="s">
        <v>1019</v>
      </c>
      <c r="K676">
        <v>131069</v>
      </c>
      <c r="L676" t="s">
        <v>1020</v>
      </c>
      <c r="M676">
        <v>45</v>
      </c>
      <c r="N676" t="s">
        <v>1036</v>
      </c>
    </row>
    <row r="677" spans="1:14" x14ac:dyDescent="0.3">
      <c r="A677" t="s">
        <v>689</v>
      </c>
      <c r="B677" t="s">
        <v>1029</v>
      </c>
      <c r="C677" t="s">
        <v>1015</v>
      </c>
      <c r="D677" s="1">
        <v>45679</v>
      </c>
      <c r="E677" s="1">
        <v>45699</v>
      </c>
      <c r="F677" t="s">
        <v>1016</v>
      </c>
      <c r="G677" t="s">
        <v>1017</v>
      </c>
      <c r="H677" t="s">
        <v>1018</v>
      </c>
      <c r="I677" t="s">
        <v>1018</v>
      </c>
      <c r="J677" t="s">
        <v>1019</v>
      </c>
      <c r="K677">
        <v>36429</v>
      </c>
      <c r="L677" t="s">
        <v>1020</v>
      </c>
      <c r="M677">
        <v>49</v>
      </c>
      <c r="N677" t="s">
        <v>1025</v>
      </c>
    </row>
    <row r="678" spans="1:14" x14ac:dyDescent="0.3">
      <c r="A678" t="s">
        <v>690</v>
      </c>
      <c r="B678" t="s">
        <v>1037</v>
      </c>
      <c r="C678" t="s">
        <v>1015</v>
      </c>
      <c r="D678" s="1">
        <v>45755</v>
      </c>
      <c r="E678" s="1">
        <v>45781</v>
      </c>
      <c r="F678" t="s">
        <v>1016</v>
      </c>
      <c r="G678" t="s">
        <v>1023</v>
      </c>
      <c r="H678" t="s">
        <v>1016</v>
      </c>
      <c r="I678" t="s">
        <v>1016</v>
      </c>
      <c r="J678" t="s">
        <v>1019</v>
      </c>
      <c r="K678">
        <v>144457</v>
      </c>
      <c r="L678" t="s">
        <v>1020</v>
      </c>
      <c r="M678">
        <v>38</v>
      </c>
      <c r="N678" t="s">
        <v>1036</v>
      </c>
    </row>
    <row r="679" spans="1:14" x14ac:dyDescent="0.3">
      <c r="A679" t="s">
        <v>691</v>
      </c>
      <c r="B679" t="s">
        <v>1034</v>
      </c>
      <c r="C679" t="s">
        <v>1015</v>
      </c>
      <c r="D679" s="1">
        <v>45830</v>
      </c>
      <c r="E679" s="1">
        <v>45859</v>
      </c>
      <c r="F679" t="s">
        <v>1016</v>
      </c>
      <c r="G679" t="s">
        <v>1017</v>
      </c>
      <c r="H679" t="s">
        <v>1018</v>
      </c>
      <c r="I679" t="s">
        <v>1018</v>
      </c>
      <c r="J679" t="s">
        <v>1019</v>
      </c>
      <c r="K679">
        <v>114281</v>
      </c>
      <c r="L679" t="s">
        <v>1020</v>
      </c>
      <c r="M679">
        <v>67</v>
      </c>
      <c r="N679" t="s">
        <v>1025</v>
      </c>
    </row>
    <row r="680" spans="1:14" x14ac:dyDescent="0.3">
      <c r="A680" t="s">
        <v>692</v>
      </c>
      <c r="B680" t="s">
        <v>1026</v>
      </c>
      <c r="C680" t="s">
        <v>1022</v>
      </c>
      <c r="D680" s="1">
        <v>45692</v>
      </c>
      <c r="E680" s="1">
        <v>45735</v>
      </c>
      <c r="F680" t="s">
        <v>1018</v>
      </c>
      <c r="G680" t="s">
        <v>1027</v>
      </c>
      <c r="H680" t="s">
        <v>1018</v>
      </c>
      <c r="I680" t="s">
        <v>1018</v>
      </c>
      <c r="J680" t="s">
        <v>1027</v>
      </c>
      <c r="K680">
        <v>0</v>
      </c>
      <c r="L680" t="s">
        <v>1028</v>
      </c>
      <c r="M680">
        <v>80</v>
      </c>
      <c r="N680" t="s">
        <v>1021</v>
      </c>
    </row>
    <row r="681" spans="1:14" x14ac:dyDescent="0.3">
      <c r="A681" t="s">
        <v>693</v>
      </c>
      <c r="B681" t="s">
        <v>1037</v>
      </c>
      <c r="C681" t="s">
        <v>1031</v>
      </c>
      <c r="D681" s="1">
        <v>45847</v>
      </c>
      <c r="E681" s="1">
        <v>45856</v>
      </c>
      <c r="F681" t="s">
        <v>1016</v>
      </c>
      <c r="G681" t="s">
        <v>1023</v>
      </c>
      <c r="H681" t="s">
        <v>1016</v>
      </c>
      <c r="I681" t="s">
        <v>1016</v>
      </c>
      <c r="J681" t="s">
        <v>1019</v>
      </c>
      <c r="K681">
        <v>102193</v>
      </c>
      <c r="L681" t="s">
        <v>1020</v>
      </c>
      <c r="M681">
        <v>32</v>
      </c>
      <c r="N681" t="s">
        <v>1030</v>
      </c>
    </row>
    <row r="682" spans="1:14" x14ac:dyDescent="0.3">
      <c r="A682" t="s">
        <v>694</v>
      </c>
      <c r="B682" t="s">
        <v>1037</v>
      </c>
      <c r="C682" t="s">
        <v>1015</v>
      </c>
      <c r="D682" s="1">
        <v>45683</v>
      </c>
      <c r="E682" s="1">
        <v>45690</v>
      </c>
      <c r="F682" t="s">
        <v>1016</v>
      </c>
      <c r="G682" t="s">
        <v>1027</v>
      </c>
      <c r="H682" t="s">
        <v>1018</v>
      </c>
      <c r="I682" t="s">
        <v>1018</v>
      </c>
      <c r="J682" t="s">
        <v>1027</v>
      </c>
      <c r="K682">
        <v>0</v>
      </c>
      <c r="L682" t="s">
        <v>1028</v>
      </c>
      <c r="M682">
        <v>26</v>
      </c>
      <c r="N682" t="s">
        <v>1030</v>
      </c>
    </row>
    <row r="683" spans="1:14" x14ac:dyDescent="0.3">
      <c r="A683" t="s">
        <v>695</v>
      </c>
      <c r="B683" t="s">
        <v>1026</v>
      </c>
      <c r="C683" t="s">
        <v>1022</v>
      </c>
      <c r="D683" s="1">
        <v>45825</v>
      </c>
      <c r="E683" s="1">
        <v>45831</v>
      </c>
      <c r="F683" t="s">
        <v>1016</v>
      </c>
      <c r="G683" t="s">
        <v>1027</v>
      </c>
      <c r="H683" t="s">
        <v>1018</v>
      </c>
      <c r="I683" t="s">
        <v>1018</v>
      </c>
      <c r="J683" t="s">
        <v>1027</v>
      </c>
      <c r="K683">
        <v>0</v>
      </c>
      <c r="L683" t="s">
        <v>1028</v>
      </c>
      <c r="M683">
        <v>25</v>
      </c>
      <c r="N683" t="s">
        <v>1030</v>
      </c>
    </row>
    <row r="684" spans="1:14" x14ac:dyDescent="0.3">
      <c r="A684" t="s">
        <v>696</v>
      </c>
      <c r="B684" t="s">
        <v>1014</v>
      </c>
      <c r="C684" t="s">
        <v>1022</v>
      </c>
      <c r="D684" s="1">
        <v>45919</v>
      </c>
      <c r="E684" s="1">
        <v>45956</v>
      </c>
      <c r="F684" t="s">
        <v>1018</v>
      </c>
      <c r="G684" t="s">
        <v>1023</v>
      </c>
      <c r="H684" t="s">
        <v>1016</v>
      </c>
      <c r="I684" t="s">
        <v>1016</v>
      </c>
      <c r="J684" t="s">
        <v>1019</v>
      </c>
      <c r="K684">
        <v>52867</v>
      </c>
      <c r="L684" t="s">
        <v>1020</v>
      </c>
      <c r="M684">
        <v>70</v>
      </c>
      <c r="N684" t="s">
        <v>1030</v>
      </c>
    </row>
    <row r="685" spans="1:14" x14ac:dyDescent="0.3">
      <c r="A685" t="s">
        <v>697</v>
      </c>
      <c r="B685" t="s">
        <v>1026</v>
      </c>
      <c r="C685" t="s">
        <v>1015</v>
      </c>
      <c r="D685" s="1">
        <v>45821</v>
      </c>
      <c r="E685" s="1">
        <v>45849</v>
      </c>
      <c r="F685" t="s">
        <v>1016</v>
      </c>
      <c r="G685" t="s">
        <v>1017</v>
      </c>
      <c r="H685" t="s">
        <v>1018</v>
      </c>
      <c r="I685" t="s">
        <v>1018</v>
      </c>
      <c r="J685" t="s">
        <v>1019</v>
      </c>
      <c r="K685">
        <v>46121</v>
      </c>
      <c r="L685" t="s">
        <v>1020</v>
      </c>
      <c r="M685">
        <v>58</v>
      </c>
      <c r="N685" t="s">
        <v>1036</v>
      </c>
    </row>
    <row r="686" spans="1:14" x14ac:dyDescent="0.3">
      <c r="A686" t="s">
        <v>698</v>
      </c>
      <c r="B686" t="s">
        <v>1026</v>
      </c>
      <c r="C686" t="s">
        <v>1033</v>
      </c>
      <c r="D686" s="1">
        <v>45879</v>
      </c>
      <c r="E686" s="1">
        <v>45885</v>
      </c>
      <c r="F686" t="s">
        <v>1016</v>
      </c>
      <c r="G686" t="s">
        <v>1027</v>
      </c>
      <c r="H686" t="s">
        <v>1018</v>
      </c>
      <c r="I686" t="s">
        <v>1018</v>
      </c>
      <c r="J686" t="s">
        <v>1027</v>
      </c>
      <c r="K686">
        <v>0</v>
      </c>
      <c r="L686" t="s">
        <v>1028</v>
      </c>
      <c r="M686">
        <v>34</v>
      </c>
      <c r="N686" t="s">
        <v>1021</v>
      </c>
    </row>
    <row r="687" spans="1:14" x14ac:dyDescent="0.3">
      <c r="A687" t="s">
        <v>699</v>
      </c>
      <c r="B687" t="s">
        <v>1026</v>
      </c>
      <c r="C687" t="s">
        <v>1031</v>
      </c>
      <c r="D687" s="1">
        <v>45707</v>
      </c>
      <c r="E687" s="1">
        <v>45750</v>
      </c>
      <c r="F687" t="s">
        <v>1018</v>
      </c>
      <c r="G687" t="s">
        <v>1023</v>
      </c>
      <c r="H687" t="s">
        <v>1016</v>
      </c>
      <c r="I687" t="s">
        <v>1016</v>
      </c>
      <c r="J687" t="s">
        <v>1019</v>
      </c>
      <c r="K687">
        <v>86490</v>
      </c>
      <c r="L687" t="s">
        <v>1020</v>
      </c>
      <c r="M687">
        <v>65</v>
      </c>
      <c r="N687" t="s">
        <v>1021</v>
      </c>
    </row>
    <row r="688" spans="1:14" x14ac:dyDescent="0.3">
      <c r="A688" t="s">
        <v>700</v>
      </c>
      <c r="B688" t="s">
        <v>1014</v>
      </c>
      <c r="C688" t="s">
        <v>1033</v>
      </c>
      <c r="D688" s="1">
        <v>45917</v>
      </c>
      <c r="E688" s="1">
        <v>45924</v>
      </c>
      <c r="F688" t="s">
        <v>1016</v>
      </c>
      <c r="G688" t="s">
        <v>1023</v>
      </c>
      <c r="H688" t="s">
        <v>1016</v>
      </c>
      <c r="I688" t="s">
        <v>1016</v>
      </c>
      <c r="J688" t="s">
        <v>1019</v>
      </c>
      <c r="K688">
        <v>49193</v>
      </c>
      <c r="L688" t="s">
        <v>1020</v>
      </c>
      <c r="M688">
        <v>34</v>
      </c>
      <c r="N688" t="s">
        <v>1025</v>
      </c>
    </row>
    <row r="689" spans="1:14" x14ac:dyDescent="0.3">
      <c r="A689" t="s">
        <v>701</v>
      </c>
      <c r="B689" t="s">
        <v>1032</v>
      </c>
      <c r="C689" t="s">
        <v>1035</v>
      </c>
      <c r="D689" s="1">
        <v>45855</v>
      </c>
      <c r="E689" s="1">
        <v>45877</v>
      </c>
      <c r="F689" t="s">
        <v>1016</v>
      </c>
      <c r="G689" t="s">
        <v>1017</v>
      </c>
      <c r="H689" t="s">
        <v>1018</v>
      </c>
      <c r="I689" t="s">
        <v>1018</v>
      </c>
      <c r="J689" t="s">
        <v>1019</v>
      </c>
      <c r="K689">
        <v>149258</v>
      </c>
      <c r="L689" t="s">
        <v>1020</v>
      </c>
      <c r="M689">
        <v>55</v>
      </c>
      <c r="N689" t="s">
        <v>1030</v>
      </c>
    </row>
    <row r="690" spans="1:14" x14ac:dyDescent="0.3">
      <c r="A690" t="s">
        <v>702</v>
      </c>
      <c r="B690" t="s">
        <v>1032</v>
      </c>
      <c r="C690" t="s">
        <v>1031</v>
      </c>
      <c r="D690" s="1">
        <v>45985</v>
      </c>
      <c r="E690" s="1">
        <v>46027</v>
      </c>
      <c r="F690" t="s">
        <v>1018</v>
      </c>
      <c r="G690" t="s">
        <v>1023</v>
      </c>
      <c r="H690" t="s">
        <v>1016</v>
      </c>
      <c r="I690" t="s">
        <v>1016</v>
      </c>
      <c r="J690" t="s">
        <v>1019</v>
      </c>
      <c r="K690">
        <v>6498</v>
      </c>
      <c r="L690" t="s">
        <v>1020</v>
      </c>
      <c r="M690">
        <v>71</v>
      </c>
      <c r="N690" t="s">
        <v>1021</v>
      </c>
    </row>
    <row r="691" spans="1:14" x14ac:dyDescent="0.3">
      <c r="A691" t="s">
        <v>703</v>
      </c>
      <c r="B691" t="s">
        <v>1037</v>
      </c>
      <c r="C691" t="s">
        <v>1015</v>
      </c>
      <c r="D691" s="1">
        <v>45983</v>
      </c>
      <c r="E691" s="1">
        <v>45995</v>
      </c>
      <c r="F691" t="s">
        <v>1016</v>
      </c>
      <c r="G691" t="s">
        <v>1017</v>
      </c>
      <c r="H691" t="s">
        <v>1018</v>
      </c>
      <c r="I691" t="s">
        <v>1018</v>
      </c>
      <c r="J691" t="s">
        <v>1019</v>
      </c>
      <c r="K691">
        <v>29488</v>
      </c>
      <c r="L691" t="s">
        <v>1020</v>
      </c>
      <c r="M691">
        <v>45</v>
      </c>
      <c r="N691" t="s">
        <v>1025</v>
      </c>
    </row>
    <row r="692" spans="1:14" x14ac:dyDescent="0.3">
      <c r="A692" t="s">
        <v>704</v>
      </c>
      <c r="B692" t="s">
        <v>1029</v>
      </c>
      <c r="C692" t="s">
        <v>1031</v>
      </c>
      <c r="D692" s="1">
        <v>45814</v>
      </c>
      <c r="E692" s="1">
        <v>45823</v>
      </c>
      <c r="F692" t="s">
        <v>1016</v>
      </c>
      <c r="G692" t="s">
        <v>1023</v>
      </c>
      <c r="H692" t="s">
        <v>1016</v>
      </c>
      <c r="I692" t="s">
        <v>1018</v>
      </c>
      <c r="J692" t="s">
        <v>1027</v>
      </c>
      <c r="K692">
        <v>0</v>
      </c>
      <c r="L692" t="s">
        <v>1028</v>
      </c>
      <c r="M692">
        <v>21</v>
      </c>
      <c r="N692" t="s">
        <v>1021</v>
      </c>
    </row>
    <row r="693" spans="1:14" x14ac:dyDescent="0.3">
      <c r="A693" t="s">
        <v>705</v>
      </c>
      <c r="B693" t="s">
        <v>1026</v>
      </c>
      <c r="C693" t="s">
        <v>1031</v>
      </c>
      <c r="D693" s="1">
        <v>45775</v>
      </c>
      <c r="E693" s="1">
        <v>45820</v>
      </c>
      <c r="F693" t="s">
        <v>1018</v>
      </c>
      <c r="G693" t="s">
        <v>1023</v>
      </c>
      <c r="H693" t="s">
        <v>1016</v>
      </c>
      <c r="I693" t="s">
        <v>1018</v>
      </c>
      <c r="J693" t="s">
        <v>1027</v>
      </c>
      <c r="K693">
        <v>0</v>
      </c>
      <c r="L693" t="s">
        <v>1028</v>
      </c>
      <c r="M693">
        <v>69</v>
      </c>
      <c r="N693" t="s">
        <v>1036</v>
      </c>
    </row>
    <row r="694" spans="1:14" x14ac:dyDescent="0.3">
      <c r="A694" t="s">
        <v>706</v>
      </c>
      <c r="B694" t="s">
        <v>1026</v>
      </c>
      <c r="C694" t="s">
        <v>1033</v>
      </c>
      <c r="D694" s="1">
        <v>45770</v>
      </c>
      <c r="E694" s="1">
        <v>45791</v>
      </c>
      <c r="F694" t="s">
        <v>1016</v>
      </c>
      <c r="G694" t="s">
        <v>1027</v>
      </c>
      <c r="H694" t="s">
        <v>1018</v>
      </c>
      <c r="I694" t="s">
        <v>1018</v>
      </c>
      <c r="J694" t="s">
        <v>1027</v>
      </c>
      <c r="K694">
        <v>0</v>
      </c>
      <c r="L694" t="s">
        <v>1028</v>
      </c>
      <c r="M694">
        <v>48</v>
      </c>
      <c r="N694" t="s">
        <v>1030</v>
      </c>
    </row>
    <row r="695" spans="1:14" x14ac:dyDescent="0.3">
      <c r="A695" t="s">
        <v>707</v>
      </c>
      <c r="B695" t="s">
        <v>1029</v>
      </c>
      <c r="C695" t="s">
        <v>1031</v>
      </c>
      <c r="D695" s="1">
        <v>45859</v>
      </c>
      <c r="E695" s="1">
        <v>45867</v>
      </c>
      <c r="F695" t="s">
        <v>1016</v>
      </c>
      <c r="G695" t="s">
        <v>1027</v>
      </c>
      <c r="H695" t="s">
        <v>1018</v>
      </c>
      <c r="I695" t="s">
        <v>1018</v>
      </c>
      <c r="J695" t="s">
        <v>1027</v>
      </c>
      <c r="K695">
        <v>0</v>
      </c>
      <c r="L695" t="s">
        <v>1028</v>
      </c>
      <c r="M695">
        <v>24</v>
      </c>
      <c r="N695" t="s">
        <v>1030</v>
      </c>
    </row>
    <row r="696" spans="1:14" x14ac:dyDescent="0.3">
      <c r="A696" t="s">
        <v>708</v>
      </c>
      <c r="B696" t="s">
        <v>1032</v>
      </c>
      <c r="C696" t="s">
        <v>1035</v>
      </c>
      <c r="D696" s="1">
        <v>45819</v>
      </c>
      <c r="E696" s="1">
        <v>45826</v>
      </c>
      <c r="F696" t="s">
        <v>1016</v>
      </c>
      <c r="G696" t="s">
        <v>1027</v>
      </c>
      <c r="H696" t="s">
        <v>1018</v>
      </c>
      <c r="I696" t="s">
        <v>1018</v>
      </c>
      <c r="J696" t="s">
        <v>1027</v>
      </c>
      <c r="K696">
        <v>0</v>
      </c>
      <c r="L696" t="s">
        <v>1028</v>
      </c>
      <c r="M696">
        <v>39</v>
      </c>
      <c r="N696" t="s">
        <v>1025</v>
      </c>
    </row>
    <row r="697" spans="1:14" x14ac:dyDescent="0.3">
      <c r="A697" t="s">
        <v>709</v>
      </c>
      <c r="B697" t="s">
        <v>1026</v>
      </c>
      <c r="C697" t="s">
        <v>1031</v>
      </c>
      <c r="D697" s="1">
        <v>45975</v>
      </c>
      <c r="E697" s="1">
        <v>46014</v>
      </c>
      <c r="F697" t="s">
        <v>1018</v>
      </c>
      <c r="G697" t="s">
        <v>1027</v>
      </c>
      <c r="H697" t="s">
        <v>1018</v>
      </c>
      <c r="I697" t="s">
        <v>1018</v>
      </c>
      <c r="J697" t="s">
        <v>1027</v>
      </c>
      <c r="K697">
        <v>0</v>
      </c>
      <c r="L697" t="s">
        <v>1028</v>
      </c>
      <c r="M697">
        <v>67</v>
      </c>
      <c r="N697" t="s">
        <v>1021</v>
      </c>
    </row>
    <row r="698" spans="1:14" x14ac:dyDescent="0.3">
      <c r="A698" t="s">
        <v>710</v>
      </c>
      <c r="B698" t="s">
        <v>1026</v>
      </c>
      <c r="C698" t="s">
        <v>1035</v>
      </c>
      <c r="D698" s="1">
        <v>45873</v>
      </c>
      <c r="E698" s="1">
        <v>45880</v>
      </c>
      <c r="F698" t="s">
        <v>1016</v>
      </c>
      <c r="G698" t="s">
        <v>1023</v>
      </c>
      <c r="H698" t="s">
        <v>1016</v>
      </c>
      <c r="I698" t="s">
        <v>1016</v>
      </c>
      <c r="J698" t="s">
        <v>1019</v>
      </c>
      <c r="K698">
        <v>70943</v>
      </c>
      <c r="L698" t="s">
        <v>1020</v>
      </c>
      <c r="M698">
        <v>20</v>
      </c>
      <c r="N698" t="s">
        <v>1025</v>
      </c>
    </row>
    <row r="699" spans="1:14" x14ac:dyDescent="0.3">
      <c r="A699" t="s">
        <v>711</v>
      </c>
      <c r="B699" t="s">
        <v>1032</v>
      </c>
      <c r="C699" t="s">
        <v>1031</v>
      </c>
      <c r="D699" s="1">
        <v>45802</v>
      </c>
      <c r="E699" s="1">
        <v>45847</v>
      </c>
      <c r="F699" t="s">
        <v>1018</v>
      </c>
      <c r="G699" t="s">
        <v>1027</v>
      </c>
      <c r="H699" t="s">
        <v>1018</v>
      </c>
      <c r="I699" t="s">
        <v>1018</v>
      </c>
      <c r="J699" t="s">
        <v>1027</v>
      </c>
      <c r="K699">
        <v>0</v>
      </c>
      <c r="L699" t="s">
        <v>1028</v>
      </c>
      <c r="M699">
        <v>83</v>
      </c>
      <c r="N699" t="s">
        <v>1025</v>
      </c>
    </row>
    <row r="700" spans="1:14" x14ac:dyDescent="0.3">
      <c r="A700" t="s">
        <v>712</v>
      </c>
      <c r="B700" t="s">
        <v>1029</v>
      </c>
      <c r="C700" t="s">
        <v>1015</v>
      </c>
      <c r="D700" s="1">
        <v>45755</v>
      </c>
      <c r="E700" s="1">
        <v>45778</v>
      </c>
      <c r="F700" t="s">
        <v>1016</v>
      </c>
      <c r="G700" t="s">
        <v>1017</v>
      </c>
      <c r="H700" t="s">
        <v>1018</v>
      </c>
      <c r="I700" t="s">
        <v>1018</v>
      </c>
      <c r="J700" t="s">
        <v>1019</v>
      </c>
      <c r="K700">
        <v>151926</v>
      </c>
      <c r="L700" t="s">
        <v>1020</v>
      </c>
      <c r="M700">
        <v>30</v>
      </c>
      <c r="N700" t="s">
        <v>1025</v>
      </c>
    </row>
    <row r="701" spans="1:14" x14ac:dyDescent="0.3">
      <c r="A701" t="s">
        <v>713</v>
      </c>
      <c r="B701" t="s">
        <v>1037</v>
      </c>
      <c r="C701" t="s">
        <v>1015</v>
      </c>
      <c r="D701" s="1">
        <v>46011</v>
      </c>
      <c r="E701" s="1">
        <v>46016</v>
      </c>
      <c r="F701" t="s">
        <v>1016</v>
      </c>
      <c r="G701" t="s">
        <v>1023</v>
      </c>
      <c r="H701" t="s">
        <v>1016</v>
      </c>
      <c r="I701" t="s">
        <v>1016</v>
      </c>
      <c r="J701" t="s">
        <v>1019</v>
      </c>
      <c r="K701">
        <v>143917</v>
      </c>
      <c r="L701" t="s">
        <v>1020</v>
      </c>
      <c r="M701">
        <v>40</v>
      </c>
      <c r="N701" t="s">
        <v>1036</v>
      </c>
    </row>
    <row r="702" spans="1:14" x14ac:dyDescent="0.3">
      <c r="A702" t="s">
        <v>714</v>
      </c>
      <c r="B702" t="s">
        <v>1029</v>
      </c>
      <c r="C702" t="s">
        <v>1022</v>
      </c>
      <c r="D702" s="1">
        <v>45945</v>
      </c>
      <c r="E702" s="1">
        <v>45989</v>
      </c>
      <c r="F702" t="s">
        <v>1018</v>
      </c>
      <c r="G702" t="s">
        <v>1027</v>
      </c>
      <c r="H702" t="s">
        <v>1018</v>
      </c>
      <c r="I702" t="s">
        <v>1018</v>
      </c>
      <c r="J702" t="s">
        <v>1027</v>
      </c>
      <c r="K702">
        <v>0</v>
      </c>
      <c r="L702" t="s">
        <v>1028</v>
      </c>
      <c r="M702">
        <v>84</v>
      </c>
      <c r="N702" t="s">
        <v>1030</v>
      </c>
    </row>
    <row r="703" spans="1:14" x14ac:dyDescent="0.3">
      <c r="A703" t="s">
        <v>715</v>
      </c>
      <c r="B703" t="s">
        <v>1037</v>
      </c>
      <c r="C703" t="s">
        <v>1022</v>
      </c>
      <c r="D703" s="1">
        <v>45760</v>
      </c>
      <c r="E703" s="1">
        <v>45799</v>
      </c>
      <c r="F703" t="s">
        <v>1018</v>
      </c>
      <c r="G703" t="s">
        <v>1017</v>
      </c>
      <c r="H703" t="s">
        <v>1018</v>
      </c>
      <c r="I703" t="s">
        <v>1018</v>
      </c>
      <c r="J703" t="s">
        <v>1019</v>
      </c>
      <c r="K703">
        <v>111730</v>
      </c>
      <c r="L703" t="s">
        <v>1020</v>
      </c>
      <c r="M703">
        <v>62</v>
      </c>
      <c r="N703" t="s">
        <v>1030</v>
      </c>
    </row>
    <row r="704" spans="1:14" x14ac:dyDescent="0.3">
      <c r="A704" t="s">
        <v>716</v>
      </c>
      <c r="B704" t="s">
        <v>1032</v>
      </c>
      <c r="C704" t="s">
        <v>1022</v>
      </c>
      <c r="D704" s="1">
        <v>45910</v>
      </c>
      <c r="E704" s="1">
        <v>45931</v>
      </c>
      <c r="F704" t="s">
        <v>1016</v>
      </c>
      <c r="G704" t="s">
        <v>1027</v>
      </c>
      <c r="H704" t="s">
        <v>1018</v>
      </c>
      <c r="I704" t="s">
        <v>1018</v>
      </c>
      <c r="J704" t="s">
        <v>1027</v>
      </c>
      <c r="K704">
        <v>0</v>
      </c>
      <c r="L704" t="s">
        <v>1028</v>
      </c>
      <c r="M704">
        <v>56</v>
      </c>
      <c r="N704" t="s">
        <v>1030</v>
      </c>
    </row>
    <row r="705" spans="1:14" x14ac:dyDescent="0.3">
      <c r="A705" t="s">
        <v>717</v>
      </c>
      <c r="B705" t="s">
        <v>1014</v>
      </c>
      <c r="C705" t="s">
        <v>1033</v>
      </c>
      <c r="D705" s="1">
        <v>45935</v>
      </c>
      <c r="E705" s="1">
        <v>45980</v>
      </c>
      <c r="F705" t="s">
        <v>1018</v>
      </c>
      <c r="G705" t="s">
        <v>1017</v>
      </c>
      <c r="H705" t="s">
        <v>1018</v>
      </c>
      <c r="I705" t="s">
        <v>1018</v>
      </c>
      <c r="J705" t="s">
        <v>1019</v>
      </c>
      <c r="K705">
        <v>151252</v>
      </c>
      <c r="L705" t="s">
        <v>1020</v>
      </c>
      <c r="M705">
        <v>80</v>
      </c>
      <c r="N705" t="s">
        <v>1025</v>
      </c>
    </row>
    <row r="706" spans="1:14" x14ac:dyDescent="0.3">
      <c r="A706" t="s">
        <v>718</v>
      </c>
      <c r="B706" t="s">
        <v>1026</v>
      </c>
      <c r="C706" t="s">
        <v>1031</v>
      </c>
      <c r="D706" s="1">
        <v>45667</v>
      </c>
      <c r="E706" s="1">
        <v>45711</v>
      </c>
      <c r="F706" t="s">
        <v>1018</v>
      </c>
      <c r="G706" t="s">
        <v>1027</v>
      </c>
      <c r="H706" t="s">
        <v>1018</v>
      </c>
      <c r="I706" t="s">
        <v>1018</v>
      </c>
      <c r="J706" t="s">
        <v>1027</v>
      </c>
      <c r="K706">
        <v>0</v>
      </c>
      <c r="L706" t="s">
        <v>1028</v>
      </c>
      <c r="M706">
        <v>64</v>
      </c>
      <c r="N706" t="s">
        <v>1025</v>
      </c>
    </row>
    <row r="707" spans="1:14" x14ac:dyDescent="0.3">
      <c r="A707" t="s">
        <v>719</v>
      </c>
      <c r="B707" t="s">
        <v>1037</v>
      </c>
      <c r="C707" t="s">
        <v>1033</v>
      </c>
      <c r="D707" s="1">
        <v>45980</v>
      </c>
      <c r="E707" s="1">
        <v>46025</v>
      </c>
      <c r="F707" t="s">
        <v>1018</v>
      </c>
      <c r="G707" t="s">
        <v>1027</v>
      </c>
      <c r="H707" t="s">
        <v>1018</v>
      </c>
      <c r="I707" t="s">
        <v>1018</v>
      </c>
      <c r="J707" t="s">
        <v>1027</v>
      </c>
      <c r="K707">
        <v>0</v>
      </c>
      <c r="L707" t="s">
        <v>1028</v>
      </c>
      <c r="M707">
        <v>80</v>
      </c>
      <c r="N707" t="s">
        <v>1025</v>
      </c>
    </row>
    <row r="708" spans="1:14" x14ac:dyDescent="0.3">
      <c r="A708" t="s">
        <v>720</v>
      </c>
      <c r="B708" t="s">
        <v>1026</v>
      </c>
      <c r="C708" t="s">
        <v>1031</v>
      </c>
      <c r="D708" s="1">
        <v>45845</v>
      </c>
      <c r="E708" s="1">
        <v>45853</v>
      </c>
      <c r="F708" t="s">
        <v>1016</v>
      </c>
      <c r="G708" t="s">
        <v>1027</v>
      </c>
      <c r="H708" t="s">
        <v>1018</v>
      </c>
      <c r="I708" t="s">
        <v>1018</v>
      </c>
      <c r="J708" t="s">
        <v>1027</v>
      </c>
      <c r="K708">
        <v>0</v>
      </c>
      <c r="L708" t="s">
        <v>1028</v>
      </c>
      <c r="M708">
        <v>38</v>
      </c>
      <c r="N708" t="s">
        <v>1021</v>
      </c>
    </row>
    <row r="709" spans="1:14" x14ac:dyDescent="0.3">
      <c r="A709" t="s">
        <v>721</v>
      </c>
      <c r="B709" t="s">
        <v>1029</v>
      </c>
      <c r="C709" t="s">
        <v>1035</v>
      </c>
      <c r="D709" s="1">
        <v>45973</v>
      </c>
      <c r="E709" s="1">
        <v>45997</v>
      </c>
      <c r="F709" t="s">
        <v>1016</v>
      </c>
      <c r="G709" t="s">
        <v>1017</v>
      </c>
      <c r="H709" t="s">
        <v>1018</v>
      </c>
      <c r="I709" t="s">
        <v>1018</v>
      </c>
      <c r="J709" t="s">
        <v>1019</v>
      </c>
      <c r="K709">
        <v>170407</v>
      </c>
      <c r="L709" t="s">
        <v>1020</v>
      </c>
      <c r="M709">
        <v>62</v>
      </c>
      <c r="N709" t="s">
        <v>1036</v>
      </c>
    </row>
    <row r="710" spans="1:14" x14ac:dyDescent="0.3">
      <c r="A710" t="s">
        <v>722</v>
      </c>
      <c r="B710" t="s">
        <v>1034</v>
      </c>
      <c r="C710" t="s">
        <v>1033</v>
      </c>
      <c r="D710" s="1">
        <v>45908</v>
      </c>
      <c r="E710" s="1">
        <v>45910</v>
      </c>
      <c r="F710" t="s">
        <v>1016</v>
      </c>
      <c r="G710" t="s">
        <v>1027</v>
      </c>
      <c r="H710" t="s">
        <v>1018</v>
      </c>
      <c r="I710" t="s">
        <v>1018</v>
      </c>
      <c r="J710" t="s">
        <v>1027</v>
      </c>
      <c r="K710">
        <v>0</v>
      </c>
      <c r="L710" t="s">
        <v>1028</v>
      </c>
      <c r="M710">
        <v>14</v>
      </c>
      <c r="N710" t="s">
        <v>1021</v>
      </c>
    </row>
    <row r="711" spans="1:14" x14ac:dyDescent="0.3">
      <c r="A711" t="s">
        <v>723</v>
      </c>
      <c r="B711" t="s">
        <v>1034</v>
      </c>
      <c r="C711" t="s">
        <v>1033</v>
      </c>
      <c r="D711" s="1">
        <v>45757</v>
      </c>
      <c r="E711" s="1">
        <v>45785</v>
      </c>
      <c r="F711" t="s">
        <v>1016</v>
      </c>
      <c r="G711" t="s">
        <v>1023</v>
      </c>
      <c r="H711" t="s">
        <v>1016</v>
      </c>
      <c r="I711" t="s">
        <v>1016</v>
      </c>
      <c r="J711" t="s">
        <v>1019</v>
      </c>
      <c r="K711">
        <v>110220</v>
      </c>
      <c r="L711" t="s">
        <v>1020</v>
      </c>
      <c r="M711">
        <v>51</v>
      </c>
      <c r="N711" t="s">
        <v>1021</v>
      </c>
    </row>
    <row r="712" spans="1:14" x14ac:dyDescent="0.3">
      <c r="A712" t="s">
        <v>724</v>
      </c>
      <c r="B712" t="s">
        <v>1034</v>
      </c>
      <c r="C712" t="s">
        <v>1022</v>
      </c>
      <c r="D712" s="1">
        <v>45850</v>
      </c>
      <c r="E712" s="1">
        <v>45877</v>
      </c>
      <c r="F712" t="s">
        <v>1016</v>
      </c>
      <c r="G712" t="s">
        <v>1027</v>
      </c>
      <c r="H712" t="s">
        <v>1018</v>
      </c>
      <c r="I712" t="s">
        <v>1018</v>
      </c>
      <c r="J712" t="s">
        <v>1027</v>
      </c>
      <c r="K712">
        <v>0</v>
      </c>
      <c r="L712" t="s">
        <v>1028</v>
      </c>
      <c r="M712">
        <v>56</v>
      </c>
      <c r="N712" t="s">
        <v>1036</v>
      </c>
    </row>
    <row r="713" spans="1:14" x14ac:dyDescent="0.3">
      <c r="A713" t="s">
        <v>725</v>
      </c>
      <c r="B713" t="s">
        <v>1034</v>
      </c>
      <c r="C713" t="s">
        <v>1022</v>
      </c>
      <c r="D713" s="1">
        <v>45954</v>
      </c>
      <c r="E713" s="1">
        <v>45955</v>
      </c>
      <c r="F713" t="s">
        <v>1016</v>
      </c>
      <c r="G713" t="s">
        <v>1027</v>
      </c>
      <c r="H713" t="s">
        <v>1018</v>
      </c>
      <c r="I713" t="s">
        <v>1018</v>
      </c>
      <c r="J713" t="s">
        <v>1027</v>
      </c>
      <c r="K713">
        <v>0</v>
      </c>
      <c r="L713" t="s">
        <v>1028</v>
      </c>
      <c r="M713">
        <v>37</v>
      </c>
      <c r="N713" t="s">
        <v>1036</v>
      </c>
    </row>
    <row r="714" spans="1:14" x14ac:dyDescent="0.3">
      <c r="A714" t="s">
        <v>726</v>
      </c>
      <c r="B714" t="s">
        <v>1037</v>
      </c>
      <c r="C714" t="s">
        <v>1033</v>
      </c>
      <c r="D714" s="1">
        <v>45673</v>
      </c>
      <c r="E714" s="1">
        <v>45712</v>
      </c>
      <c r="F714" t="s">
        <v>1018</v>
      </c>
      <c r="G714" t="s">
        <v>1017</v>
      </c>
      <c r="H714" t="s">
        <v>1018</v>
      </c>
      <c r="I714" t="s">
        <v>1018</v>
      </c>
      <c r="J714" t="s">
        <v>1019</v>
      </c>
      <c r="K714">
        <v>63185</v>
      </c>
      <c r="L714" t="s">
        <v>1020</v>
      </c>
      <c r="M714">
        <v>66</v>
      </c>
      <c r="N714" t="s">
        <v>1036</v>
      </c>
    </row>
    <row r="715" spans="1:14" x14ac:dyDescent="0.3">
      <c r="A715" t="s">
        <v>727</v>
      </c>
      <c r="B715" t="s">
        <v>1032</v>
      </c>
      <c r="C715" t="s">
        <v>1035</v>
      </c>
      <c r="D715" s="1">
        <v>45843</v>
      </c>
      <c r="E715" s="1">
        <v>45857</v>
      </c>
      <c r="F715" t="s">
        <v>1016</v>
      </c>
      <c r="G715" t="s">
        <v>1023</v>
      </c>
      <c r="H715" t="s">
        <v>1016</v>
      </c>
      <c r="I715" t="s">
        <v>1016</v>
      </c>
      <c r="J715" t="s">
        <v>1019</v>
      </c>
      <c r="K715">
        <v>136187</v>
      </c>
      <c r="L715" t="s">
        <v>1024</v>
      </c>
      <c r="M715">
        <v>40</v>
      </c>
      <c r="N715" t="s">
        <v>1021</v>
      </c>
    </row>
    <row r="716" spans="1:14" x14ac:dyDescent="0.3">
      <c r="A716" t="s">
        <v>728</v>
      </c>
      <c r="B716" t="s">
        <v>1032</v>
      </c>
      <c r="C716" t="s">
        <v>1033</v>
      </c>
      <c r="D716" s="1">
        <v>45749</v>
      </c>
      <c r="E716" s="1">
        <v>45761</v>
      </c>
      <c r="F716" t="s">
        <v>1016</v>
      </c>
      <c r="G716" t="s">
        <v>1023</v>
      </c>
      <c r="H716" t="s">
        <v>1016</v>
      </c>
      <c r="I716" t="s">
        <v>1016</v>
      </c>
      <c r="J716" t="s">
        <v>1019</v>
      </c>
      <c r="K716">
        <v>192995</v>
      </c>
      <c r="L716" t="s">
        <v>1020</v>
      </c>
      <c r="M716">
        <v>35</v>
      </c>
      <c r="N716" t="s">
        <v>1025</v>
      </c>
    </row>
    <row r="717" spans="1:14" x14ac:dyDescent="0.3">
      <c r="A717" t="s">
        <v>729</v>
      </c>
      <c r="B717" t="s">
        <v>1029</v>
      </c>
      <c r="C717" t="s">
        <v>1031</v>
      </c>
      <c r="D717" s="1">
        <v>45802</v>
      </c>
      <c r="E717" s="1">
        <v>45822</v>
      </c>
      <c r="F717" t="s">
        <v>1016</v>
      </c>
      <c r="G717" t="s">
        <v>1027</v>
      </c>
      <c r="H717" t="s">
        <v>1018</v>
      </c>
      <c r="I717" t="s">
        <v>1018</v>
      </c>
      <c r="J717" t="s">
        <v>1027</v>
      </c>
      <c r="K717">
        <v>0</v>
      </c>
      <c r="L717" t="s">
        <v>1028</v>
      </c>
      <c r="M717">
        <v>37</v>
      </c>
      <c r="N717" t="s">
        <v>1021</v>
      </c>
    </row>
    <row r="718" spans="1:14" x14ac:dyDescent="0.3">
      <c r="A718" t="s">
        <v>730</v>
      </c>
      <c r="B718" t="s">
        <v>1014</v>
      </c>
      <c r="C718" t="s">
        <v>1035</v>
      </c>
      <c r="D718" s="1">
        <v>45785</v>
      </c>
      <c r="E718" s="1">
        <v>45820</v>
      </c>
      <c r="F718" t="s">
        <v>1018</v>
      </c>
      <c r="G718" t="s">
        <v>1023</v>
      </c>
      <c r="H718" t="s">
        <v>1016</v>
      </c>
      <c r="I718" t="s">
        <v>1016</v>
      </c>
      <c r="J718" t="s">
        <v>1019</v>
      </c>
      <c r="K718">
        <v>180200</v>
      </c>
      <c r="L718" t="s">
        <v>1024</v>
      </c>
      <c r="M718">
        <v>52</v>
      </c>
      <c r="N718" t="s">
        <v>1025</v>
      </c>
    </row>
    <row r="719" spans="1:14" x14ac:dyDescent="0.3">
      <c r="A719" t="s">
        <v>731</v>
      </c>
      <c r="B719" t="s">
        <v>1026</v>
      </c>
      <c r="C719" t="s">
        <v>1035</v>
      </c>
      <c r="D719" s="1">
        <v>45924</v>
      </c>
      <c r="E719" s="1">
        <v>45930</v>
      </c>
      <c r="F719" t="s">
        <v>1016</v>
      </c>
      <c r="G719" t="s">
        <v>1027</v>
      </c>
      <c r="H719" t="s">
        <v>1018</v>
      </c>
      <c r="I719" t="s">
        <v>1018</v>
      </c>
      <c r="J719" t="s">
        <v>1027</v>
      </c>
      <c r="K719">
        <v>0</v>
      </c>
      <c r="L719" t="s">
        <v>1028</v>
      </c>
      <c r="M719">
        <v>23</v>
      </c>
      <c r="N719" t="s">
        <v>1025</v>
      </c>
    </row>
    <row r="720" spans="1:14" x14ac:dyDescent="0.3">
      <c r="A720" t="s">
        <v>732</v>
      </c>
      <c r="B720" t="s">
        <v>1032</v>
      </c>
      <c r="C720" t="s">
        <v>1035</v>
      </c>
      <c r="D720" s="1">
        <v>46017</v>
      </c>
      <c r="E720" s="1">
        <v>46045</v>
      </c>
      <c r="F720" t="s">
        <v>1016</v>
      </c>
      <c r="G720" t="s">
        <v>1017</v>
      </c>
      <c r="H720" t="s">
        <v>1018</v>
      </c>
      <c r="I720" t="s">
        <v>1018</v>
      </c>
      <c r="J720" t="s">
        <v>1019</v>
      </c>
      <c r="K720">
        <v>94543</v>
      </c>
      <c r="L720" t="s">
        <v>1024</v>
      </c>
      <c r="M720">
        <v>43</v>
      </c>
      <c r="N720" t="s">
        <v>1025</v>
      </c>
    </row>
    <row r="721" spans="1:14" x14ac:dyDescent="0.3">
      <c r="A721" t="s">
        <v>733</v>
      </c>
      <c r="B721" t="s">
        <v>1032</v>
      </c>
      <c r="C721" t="s">
        <v>1033</v>
      </c>
      <c r="D721" s="1">
        <v>45761</v>
      </c>
      <c r="E721" s="1">
        <v>45763</v>
      </c>
      <c r="F721" t="s">
        <v>1016</v>
      </c>
      <c r="G721" t="s">
        <v>1027</v>
      </c>
      <c r="H721" t="s">
        <v>1018</v>
      </c>
      <c r="I721" t="s">
        <v>1018</v>
      </c>
      <c r="J721" t="s">
        <v>1027</v>
      </c>
      <c r="K721">
        <v>0</v>
      </c>
      <c r="L721" t="s">
        <v>1028</v>
      </c>
      <c r="M721">
        <v>33</v>
      </c>
      <c r="N721" t="s">
        <v>1036</v>
      </c>
    </row>
    <row r="722" spans="1:14" x14ac:dyDescent="0.3">
      <c r="A722" t="s">
        <v>734</v>
      </c>
      <c r="B722" t="s">
        <v>1032</v>
      </c>
      <c r="C722" t="s">
        <v>1035</v>
      </c>
      <c r="D722" s="1">
        <v>45884</v>
      </c>
      <c r="E722" s="1">
        <v>45926</v>
      </c>
      <c r="F722" t="s">
        <v>1018</v>
      </c>
      <c r="G722" t="s">
        <v>1027</v>
      </c>
      <c r="H722" t="s">
        <v>1018</v>
      </c>
      <c r="I722" t="s">
        <v>1018</v>
      </c>
      <c r="J722" t="s">
        <v>1027</v>
      </c>
      <c r="K722">
        <v>0</v>
      </c>
      <c r="L722" t="s">
        <v>1028</v>
      </c>
      <c r="M722">
        <v>63</v>
      </c>
      <c r="N722" t="s">
        <v>1036</v>
      </c>
    </row>
    <row r="723" spans="1:14" x14ac:dyDescent="0.3">
      <c r="A723" t="s">
        <v>735</v>
      </c>
      <c r="B723" t="s">
        <v>1026</v>
      </c>
      <c r="C723" t="s">
        <v>1035</v>
      </c>
      <c r="D723" s="1">
        <v>45726</v>
      </c>
      <c r="E723" s="1">
        <v>45727</v>
      </c>
      <c r="F723" t="s">
        <v>1016</v>
      </c>
      <c r="G723" t="s">
        <v>1017</v>
      </c>
      <c r="H723" t="s">
        <v>1018</v>
      </c>
      <c r="I723" t="s">
        <v>1018</v>
      </c>
      <c r="J723" t="s">
        <v>1019</v>
      </c>
      <c r="K723">
        <v>169861</v>
      </c>
      <c r="L723" t="s">
        <v>1024</v>
      </c>
      <c r="M723">
        <v>40</v>
      </c>
      <c r="N723" t="s">
        <v>1021</v>
      </c>
    </row>
    <row r="724" spans="1:14" x14ac:dyDescent="0.3">
      <c r="A724" t="s">
        <v>736</v>
      </c>
      <c r="B724" t="s">
        <v>1026</v>
      </c>
      <c r="C724" t="s">
        <v>1033</v>
      </c>
      <c r="D724" s="1">
        <v>45910</v>
      </c>
      <c r="E724" s="1">
        <v>45914</v>
      </c>
      <c r="F724" t="s">
        <v>1016</v>
      </c>
      <c r="G724" t="s">
        <v>1027</v>
      </c>
      <c r="H724" t="s">
        <v>1018</v>
      </c>
      <c r="I724" t="s">
        <v>1018</v>
      </c>
      <c r="J724" t="s">
        <v>1027</v>
      </c>
      <c r="K724">
        <v>0</v>
      </c>
      <c r="L724" t="s">
        <v>1028</v>
      </c>
      <c r="M724">
        <v>31</v>
      </c>
      <c r="N724" t="s">
        <v>1025</v>
      </c>
    </row>
    <row r="725" spans="1:14" x14ac:dyDescent="0.3">
      <c r="A725" t="s">
        <v>737</v>
      </c>
      <c r="B725" t="s">
        <v>1032</v>
      </c>
      <c r="C725" t="s">
        <v>1015</v>
      </c>
      <c r="D725" s="1">
        <v>45932</v>
      </c>
      <c r="E725" s="1">
        <v>45977</v>
      </c>
      <c r="F725" t="s">
        <v>1018</v>
      </c>
      <c r="G725" t="s">
        <v>1017</v>
      </c>
      <c r="H725" t="s">
        <v>1018</v>
      </c>
      <c r="I725" t="s">
        <v>1018</v>
      </c>
      <c r="J725" t="s">
        <v>1019</v>
      </c>
      <c r="K725">
        <v>127488</v>
      </c>
      <c r="L725" t="s">
        <v>1020</v>
      </c>
      <c r="M725">
        <v>59</v>
      </c>
      <c r="N725" t="s">
        <v>1036</v>
      </c>
    </row>
    <row r="726" spans="1:14" x14ac:dyDescent="0.3">
      <c r="A726" t="s">
        <v>738</v>
      </c>
      <c r="B726" t="s">
        <v>1034</v>
      </c>
      <c r="C726" t="s">
        <v>1035</v>
      </c>
      <c r="D726" s="1">
        <v>45784</v>
      </c>
      <c r="E726" s="1">
        <v>45805</v>
      </c>
      <c r="F726" t="s">
        <v>1016</v>
      </c>
      <c r="G726" t="s">
        <v>1023</v>
      </c>
      <c r="H726" t="s">
        <v>1016</v>
      </c>
      <c r="I726" t="s">
        <v>1016</v>
      </c>
      <c r="J726" t="s">
        <v>1019</v>
      </c>
      <c r="K726">
        <v>73169</v>
      </c>
      <c r="L726" t="s">
        <v>1020</v>
      </c>
      <c r="M726">
        <v>27</v>
      </c>
      <c r="N726" t="s">
        <v>1036</v>
      </c>
    </row>
    <row r="727" spans="1:14" x14ac:dyDescent="0.3">
      <c r="A727" t="s">
        <v>739</v>
      </c>
      <c r="B727" t="s">
        <v>1032</v>
      </c>
      <c r="C727" t="s">
        <v>1031</v>
      </c>
      <c r="D727" s="1">
        <v>45682</v>
      </c>
      <c r="E727" s="1">
        <v>45726</v>
      </c>
      <c r="F727" t="s">
        <v>1018</v>
      </c>
      <c r="G727" t="s">
        <v>1027</v>
      </c>
      <c r="H727" t="s">
        <v>1018</v>
      </c>
      <c r="I727" t="s">
        <v>1018</v>
      </c>
      <c r="J727" t="s">
        <v>1027</v>
      </c>
      <c r="K727">
        <v>0</v>
      </c>
      <c r="L727" t="s">
        <v>1028</v>
      </c>
      <c r="M727">
        <v>81</v>
      </c>
      <c r="N727" t="s">
        <v>1025</v>
      </c>
    </row>
    <row r="728" spans="1:14" x14ac:dyDescent="0.3">
      <c r="A728" t="s">
        <v>740</v>
      </c>
      <c r="B728" t="s">
        <v>1037</v>
      </c>
      <c r="C728" t="s">
        <v>1031</v>
      </c>
      <c r="D728" s="1">
        <v>45965</v>
      </c>
      <c r="E728" s="1">
        <v>45967</v>
      </c>
      <c r="F728" t="s">
        <v>1016</v>
      </c>
      <c r="G728" t="s">
        <v>1017</v>
      </c>
      <c r="H728" t="s">
        <v>1018</v>
      </c>
      <c r="I728" t="s">
        <v>1018</v>
      </c>
      <c r="J728" t="s">
        <v>1019</v>
      </c>
      <c r="K728">
        <v>69494</v>
      </c>
      <c r="L728" t="s">
        <v>1024</v>
      </c>
      <c r="M728">
        <v>7</v>
      </c>
      <c r="N728" t="s">
        <v>1021</v>
      </c>
    </row>
    <row r="729" spans="1:14" x14ac:dyDescent="0.3">
      <c r="A729" t="s">
        <v>741</v>
      </c>
      <c r="B729" t="s">
        <v>1034</v>
      </c>
      <c r="C729" t="s">
        <v>1033</v>
      </c>
      <c r="D729" s="1">
        <v>45740</v>
      </c>
      <c r="E729" s="1">
        <v>45742</v>
      </c>
      <c r="F729" t="s">
        <v>1016</v>
      </c>
      <c r="G729" t="s">
        <v>1017</v>
      </c>
      <c r="H729" t="s">
        <v>1018</v>
      </c>
      <c r="I729" t="s">
        <v>1018</v>
      </c>
      <c r="J729" t="s">
        <v>1019</v>
      </c>
      <c r="K729">
        <v>146310</v>
      </c>
      <c r="L729" t="s">
        <v>1024</v>
      </c>
      <c r="M729">
        <v>26</v>
      </c>
      <c r="N729" t="s">
        <v>1025</v>
      </c>
    </row>
    <row r="730" spans="1:14" x14ac:dyDescent="0.3">
      <c r="A730" t="s">
        <v>742</v>
      </c>
      <c r="B730" t="s">
        <v>1034</v>
      </c>
      <c r="C730" t="s">
        <v>1022</v>
      </c>
      <c r="D730" s="1">
        <v>45897</v>
      </c>
      <c r="E730" s="1">
        <v>45922</v>
      </c>
      <c r="F730" t="s">
        <v>1016</v>
      </c>
      <c r="G730" t="s">
        <v>1027</v>
      </c>
      <c r="H730" t="s">
        <v>1018</v>
      </c>
      <c r="I730" t="s">
        <v>1018</v>
      </c>
      <c r="J730" t="s">
        <v>1027</v>
      </c>
      <c r="K730">
        <v>0</v>
      </c>
      <c r="L730" t="s">
        <v>1028</v>
      </c>
      <c r="M730">
        <v>37</v>
      </c>
      <c r="N730" t="s">
        <v>1025</v>
      </c>
    </row>
    <row r="731" spans="1:14" x14ac:dyDescent="0.3">
      <c r="A731" t="s">
        <v>743</v>
      </c>
      <c r="B731" t="s">
        <v>1026</v>
      </c>
      <c r="C731" t="s">
        <v>1035</v>
      </c>
      <c r="D731" s="1">
        <v>45939</v>
      </c>
      <c r="E731" s="1">
        <v>45961</v>
      </c>
      <c r="F731" t="s">
        <v>1016</v>
      </c>
      <c r="G731" t="s">
        <v>1027</v>
      </c>
      <c r="H731" t="s">
        <v>1018</v>
      </c>
      <c r="I731" t="s">
        <v>1018</v>
      </c>
      <c r="J731" t="s">
        <v>1027</v>
      </c>
      <c r="K731">
        <v>0</v>
      </c>
      <c r="L731" t="s">
        <v>1028</v>
      </c>
      <c r="M731">
        <v>41</v>
      </c>
      <c r="N731" t="s">
        <v>1021</v>
      </c>
    </row>
    <row r="732" spans="1:14" x14ac:dyDescent="0.3">
      <c r="A732" t="s">
        <v>744</v>
      </c>
      <c r="B732" t="s">
        <v>1032</v>
      </c>
      <c r="C732" t="s">
        <v>1035</v>
      </c>
      <c r="D732" s="1">
        <v>45987</v>
      </c>
      <c r="E732" s="1">
        <v>46023</v>
      </c>
      <c r="F732" t="s">
        <v>1018</v>
      </c>
      <c r="G732" t="s">
        <v>1027</v>
      </c>
      <c r="H732" t="s">
        <v>1018</v>
      </c>
      <c r="I732" t="s">
        <v>1018</v>
      </c>
      <c r="J732" t="s">
        <v>1027</v>
      </c>
      <c r="K732">
        <v>0</v>
      </c>
      <c r="L732" t="s">
        <v>1028</v>
      </c>
      <c r="M732">
        <v>49</v>
      </c>
      <c r="N732" t="s">
        <v>1021</v>
      </c>
    </row>
    <row r="733" spans="1:14" x14ac:dyDescent="0.3">
      <c r="A733" t="s">
        <v>745</v>
      </c>
      <c r="B733" t="s">
        <v>1029</v>
      </c>
      <c r="C733" t="s">
        <v>1022</v>
      </c>
      <c r="D733" s="1">
        <v>45835</v>
      </c>
      <c r="E733" s="1">
        <v>45872</v>
      </c>
      <c r="F733" t="s">
        <v>1018</v>
      </c>
      <c r="G733" t="s">
        <v>1023</v>
      </c>
      <c r="H733" t="s">
        <v>1016</v>
      </c>
      <c r="I733" t="s">
        <v>1018</v>
      </c>
      <c r="J733" t="s">
        <v>1027</v>
      </c>
      <c r="K733">
        <v>0</v>
      </c>
      <c r="L733" t="s">
        <v>1028</v>
      </c>
      <c r="M733">
        <v>72</v>
      </c>
      <c r="N733" t="s">
        <v>1036</v>
      </c>
    </row>
    <row r="734" spans="1:14" x14ac:dyDescent="0.3">
      <c r="A734" t="s">
        <v>746</v>
      </c>
      <c r="B734" t="s">
        <v>1032</v>
      </c>
      <c r="C734" t="s">
        <v>1033</v>
      </c>
      <c r="D734" s="1">
        <v>45707</v>
      </c>
      <c r="E734" s="1">
        <v>45747</v>
      </c>
      <c r="F734" t="s">
        <v>1018</v>
      </c>
      <c r="G734" t="s">
        <v>1027</v>
      </c>
      <c r="H734" t="s">
        <v>1018</v>
      </c>
      <c r="I734" t="s">
        <v>1018</v>
      </c>
      <c r="J734" t="s">
        <v>1027</v>
      </c>
      <c r="K734">
        <v>0</v>
      </c>
      <c r="L734" t="s">
        <v>1028</v>
      </c>
      <c r="M734">
        <v>46</v>
      </c>
      <c r="N734" t="s">
        <v>1025</v>
      </c>
    </row>
    <row r="735" spans="1:14" x14ac:dyDescent="0.3">
      <c r="A735" t="s">
        <v>747</v>
      </c>
      <c r="B735" t="s">
        <v>1032</v>
      </c>
      <c r="C735" t="s">
        <v>1033</v>
      </c>
      <c r="D735" s="1">
        <v>45735</v>
      </c>
      <c r="E735" s="1">
        <v>45743</v>
      </c>
      <c r="F735" t="s">
        <v>1016</v>
      </c>
      <c r="G735" t="s">
        <v>1027</v>
      </c>
      <c r="H735" t="s">
        <v>1018</v>
      </c>
      <c r="I735" t="s">
        <v>1018</v>
      </c>
      <c r="J735" t="s">
        <v>1027</v>
      </c>
      <c r="K735">
        <v>0</v>
      </c>
      <c r="L735" t="s">
        <v>1028</v>
      </c>
      <c r="M735">
        <v>25</v>
      </c>
      <c r="N735" t="s">
        <v>1021</v>
      </c>
    </row>
    <row r="736" spans="1:14" x14ac:dyDescent="0.3">
      <c r="A736" t="s">
        <v>748</v>
      </c>
      <c r="B736" t="s">
        <v>1029</v>
      </c>
      <c r="C736" t="s">
        <v>1022</v>
      </c>
      <c r="D736" s="1">
        <v>45755</v>
      </c>
      <c r="E736" s="1">
        <v>45765</v>
      </c>
      <c r="F736" t="s">
        <v>1016</v>
      </c>
      <c r="G736" t="s">
        <v>1027</v>
      </c>
      <c r="H736" t="s">
        <v>1018</v>
      </c>
      <c r="I736" t="s">
        <v>1018</v>
      </c>
      <c r="J736" t="s">
        <v>1027</v>
      </c>
      <c r="K736">
        <v>0</v>
      </c>
      <c r="L736" t="s">
        <v>1028</v>
      </c>
      <c r="M736">
        <v>35</v>
      </c>
      <c r="N736" t="s">
        <v>1025</v>
      </c>
    </row>
    <row r="737" spans="1:14" x14ac:dyDescent="0.3">
      <c r="A737" t="s">
        <v>749</v>
      </c>
      <c r="B737" t="s">
        <v>1014</v>
      </c>
      <c r="C737" t="s">
        <v>1035</v>
      </c>
      <c r="D737" s="1">
        <v>45771</v>
      </c>
      <c r="E737" s="1">
        <v>45789</v>
      </c>
      <c r="F737" t="s">
        <v>1016</v>
      </c>
      <c r="G737" t="s">
        <v>1023</v>
      </c>
      <c r="H737" t="s">
        <v>1016</v>
      </c>
      <c r="I737" t="s">
        <v>1018</v>
      </c>
      <c r="J737" t="s">
        <v>1027</v>
      </c>
      <c r="K737">
        <v>0</v>
      </c>
      <c r="L737" t="s">
        <v>1028</v>
      </c>
      <c r="M737">
        <v>41</v>
      </c>
      <c r="N737" t="s">
        <v>1021</v>
      </c>
    </row>
    <row r="738" spans="1:14" x14ac:dyDescent="0.3">
      <c r="A738" t="s">
        <v>750</v>
      </c>
      <c r="B738" t="s">
        <v>1037</v>
      </c>
      <c r="C738" t="s">
        <v>1015</v>
      </c>
      <c r="D738" s="1">
        <v>45683</v>
      </c>
      <c r="E738" s="1">
        <v>45726</v>
      </c>
      <c r="F738" t="s">
        <v>1018</v>
      </c>
      <c r="G738" t="s">
        <v>1023</v>
      </c>
      <c r="H738" t="s">
        <v>1016</v>
      </c>
      <c r="I738" t="s">
        <v>1016</v>
      </c>
      <c r="J738" t="s">
        <v>1019</v>
      </c>
      <c r="K738">
        <v>78905</v>
      </c>
      <c r="L738" t="s">
        <v>1020</v>
      </c>
      <c r="M738">
        <v>50</v>
      </c>
      <c r="N738" t="s">
        <v>1025</v>
      </c>
    </row>
    <row r="739" spans="1:14" x14ac:dyDescent="0.3">
      <c r="A739" t="s">
        <v>751</v>
      </c>
      <c r="B739" t="s">
        <v>1014</v>
      </c>
      <c r="C739" t="s">
        <v>1033</v>
      </c>
      <c r="D739" s="1">
        <v>45804</v>
      </c>
      <c r="E739" s="1">
        <v>45821</v>
      </c>
      <c r="F739" t="s">
        <v>1016</v>
      </c>
      <c r="G739" t="s">
        <v>1027</v>
      </c>
      <c r="H739" t="s">
        <v>1018</v>
      </c>
      <c r="I739" t="s">
        <v>1018</v>
      </c>
      <c r="J739" t="s">
        <v>1027</v>
      </c>
      <c r="K739">
        <v>0</v>
      </c>
      <c r="L739" t="s">
        <v>1028</v>
      </c>
      <c r="M739">
        <v>42</v>
      </c>
      <c r="N739" t="s">
        <v>1030</v>
      </c>
    </row>
    <row r="740" spans="1:14" x14ac:dyDescent="0.3">
      <c r="A740" t="s">
        <v>752</v>
      </c>
      <c r="B740" t="s">
        <v>1032</v>
      </c>
      <c r="C740" t="s">
        <v>1015</v>
      </c>
      <c r="D740" s="1">
        <v>45962</v>
      </c>
      <c r="E740" s="1">
        <v>45998</v>
      </c>
      <c r="F740" t="s">
        <v>1018</v>
      </c>
      <c r="G740" t="s">
        <v>1017</v>
      </c>
      <c r="H740" t="s">
        <v>1018</v>
      </c>
      <c r="I740" t="s">
        <v>1018</v>
      </c>
      <c r="J740" t="s">
        <v>1019</v>
      </c>
      <c r="K740">
        <v>194996</v>
      </c>
      <c r="L740" t="s">
        <v>1020</v>
      </c>
      <c r="M740">
        <v>74</v>
      </c>
      <c r="N740" t="s">
        <v>1036</v>
      </c>
    </row>
    <row r="741" spans="1:14" x14ac:dyDescent="0.3">
      <c r="A741" t="s">
        <v>753</v>
      </c>
      <c r="B741" t="s">
        <v>1014</v>
      </c>
      <c r="C741" t="s">
        <v>1033</v>
      </c>
      <c r="D741" s="1">
        <v>45985</v>
      </c>
      <c r="E741" s="1">
        <v>46009</v>
      </c>
      <c r="F741" t="s">
        <v>1016</v>
      </c>
      <c r="G741" t="s">
        <v>1017</v>
      </c>
      <c r="H741" t="s">
        <v>1018</v>
      </c>
      <c r="I741" t="s">
        <v>1018</v>
      </c>
      <c r="J741" t="s">
        <v>1019</v>
      </c>
      <c r="K741">
        <v>72514</v>
      </c>
      <c r="L741" t="s">
        <v>1020</v>
      </c>
      <c r="M741">
        <v>61</v>
      </c>
      <c r="N741" t="s">
        <v>1036</v>
      </c>
    </row>
    <row r="742" spans="1:14" x14ac:dyDescent="0.3">
      <c r="A742" t="s">
        <v>754</v>
      </c>
      <c r="B742" t="s">
        <v>1032</v>
      </c>
      <c r="C742" t="s">
        <v>1022</v>
      </c>
      <c r="D742" s="1">
        <v>45690</v>
      </c>
      <c r="E742" s="1">
        <v>45696</v>
      </c>
      <c r="F742" t="s">
        <v>1016</v>
      </c>
      <c r="G742" t="s">
        <v>1017</v>
      </c>
      <c r="H742" t="s">
        <v>1018</v>
      </c>
      <c r="I742" t="s">
        <v>1018</v>
      </c>
      <c r="J742" t="s">
        <v>1019</v>
      </c>
      <c r="K742">
        <v>110735</v>
      </c>
      <c r="L742" t="s">
        <v>1020</v>
      </c>
      <c r="M742">
        <v>19</v>
      </c>
      <c r="N742" t="s">
        <v>1030</v>
      </c>
    </row>
    <row r="743" spans="1:14" x14ac:dyDescent="0.3">
      <c r="A743" t="s">
        <v>755</v>
      </c>
      <c r="B743" t="s">
        <v>1014</v>
      </c>
      <c r="C743" t="s">
        <v>1022</v>
      </c>
      <c r="D743" s="1">
        <v>45743</v>
      </c>
      <c r="E743" s="1">
        <v>45770</v>
      </c>
      <c r="F743" t="s">
        <v>1016</v>
      </c>
      <c r="G743" t="s">
        <v>1023</v>
      </c>
      <c r="H743" t="s">
        <v>1016</v>
      </c>
      <c r="I743" t="s">
        <v>1018</v>
      </c>
      <c r="J743" t="s">
        <v>1027</v>
      </c>
      <c r="K743">
        <v>0</v>
      </c>
      <c r="L743" t="s">
        <v>1028</v>
      </c>
      <c r="M743">
        <v>56</v>
      </c>
      <c r="N743" t="s">
        <v>1025</v>
      </c>
    </row>
    <row r="744" spans="1:14" x14ac:dyDescent="0.3">
      <c r="A744" t="s">
        <v>756</v>
      </c>
      <c r="B744" t="s">
        <v>1026</v>
      </c>
      <c r="C744" t="s">
        <v>1035</v>
      </c>
      <c r="D744" s="1">
        <v>45722</v>
      </c>
      <c r="E744" s="1">
        <v>45750</v>
      </c>
      <c r="F744" t="s">
        <v>1016</v>
      </c>
      <c r="G744" t="s">
        <v>1017</v>
      </c>
      <c r="H744" t="s">
        <v>1018</v>
      </c>
      <c r="I744" t="s">
        <v>1018</v>
      </c>
      <c r="J744" t="s">
        <v>1019</v>
      </c>
      <c r="K744">
        <v>19488</v>
      </c>
      <c r="L744" t="s">
        <v>1020</v>
      </c>
      <c r="M744">
        <v>53</v>
      </c>
      <c r="N744" t="s">
        <v>1036</v>
      </c>
    </row>
    <row r="745" spans="1:14" x14ac:dyDescent="0.3">
      <c r="A745" t="s">
        <v>757</v>
      </c>
      <c r="B745" t="s">
        <v>1032</v>
      </c>
      <c r="C745" t="s">
        <v>1033</v>
      </c>
      <c r="D745" s="1">
        <v>45979</v>
      </c>
      <c r="E745" s="1">
        <v>45994</v>
      </c>
      <c r="F745" t="s">
        <v>1016</v>
      </c>
      <c r="G745" t="s">
        <v>1017</v>
      </c>
      <c r="H745" t="s">
        <v>1018</v>
      </c>
      <c r="I745" t="s">
        <v>1018</v>
      </c>
      <c r="J745" t="s">
        <v>1019</v>
      </c>
      <c r="K745">
        <v>82055</v>
      </c>
      <c r="L745" t="s">
        <v>1020</v>
      </c>
      <c r="M745">
        <v>40</v>
      </c>
      <c r="N745" t="s">
        <v>1025</v>
      </c>
    </row>
    <row r="746" spans="1:14" x14ac:dyDescent="0.3">
      <c r="A746" t="s">
        <v>758</v>
      </c>
      <c r="B746" t="s">
        <v>1034</v>
      </c>
      <c r="C746" t="s">
        <v>1035</v>
      </c>
      <c r="D746" s="1">
        <v>45724</v>
      </c>
      <c r="E746" s="1">
        <v>45725</v>
      </c>
      <c r="F746" t="s">
        <v>1016</v>
      </c>
      <c r="G746" t="s">
        <v>1023</v>
      </c>
      <c r="H746" t="s">
        <v>1016</v>
      </c>
      <c r="I746" t="s">
        <v>1018</v>
      </c>
      <c r="J746" t="s">
        <v>1027</v>
      </c>
      <c r="K746">
        <v>0</v>
      </c>
      <c r="L746" t="s">
        <v>1028</v>
      </c>
      <c r="M746">
        <v>16</v>
      </c>
      <c r="N746" t="s">
        <v>1036</v>
      </c>
    </row>
    <row r="747" spans="1:14" x14ac:dyDescent="0.3">
      <c r="A747" t="s">
        <v>759</v>
      </c>
      <c r="B747" t="s">
        <v>1014</v>
      </c>
      <c r="C747" t="s">
        <v>1035</v>
      </c>
      <c r="D747" s="1">
        <v>45684</v>
      </c>
      <c r="E747" s="1">
        <v>45696</v>
      </c>
      <c r="F747" t="s">
        <v>1016</v>
      </c>
      <c r="G747" t="s">
        <v>1023</v>
      </c>
      <c r="H747" t="s">
        <v>1016</v>
      </c>
      <c r="I747" t="s">
        <v>1016</v>
      </c>
      <c r="J747" t="s">
        <v>1019</v>
      </c>
      <c r="K747">
        <v>23845</v>
      </c>
      <c r="L747" t="s">
        <v>1024</v>
      </c>
      <c r="M747">
        <v>34</v>
      </c>
      <c r="N747" t="s">
        <v>1036</v>
      </c>
    </row>
    <row r="748" spans="1:14" x14ac:dyDescent="0.3">
      <c r="A748" t="s">
        <v>760</v>
      </c>
      <c r="B748" t="s">
        <v>1037</v>
      </c>
      <c r="C748" t="s">
        <v>1035</v>
      </c>
      <c r="D748" s="1">
        <v>45888</v>
      </c>
      <c r="E748" s="1">
        <v>45909</v>
      </c>
      <c r="F748" t="s">
        <v>1016</v>
      </c>
      <c r="G748" t="s">
        <v>1023</v>
      </c>
      <c r="H748" t="s">
        <v>1016</v>
      </c>
      <c r="I748" t="s">
        <v>1016</v>
      </c>
      <c r="J748" t="s">
        <v>1019</v>
      </c>
      <c r="K748">
        <v>85883</v>
      </c>
      <c r="L748" t="s">
        <v>1020</v>
      </c>
      <c r="M748">
        <v>37</v>
      </c>
      <c r="N748" t="s">
        <v>1021</v>
      </c>
    </row>
    <row r="749" spans="1:14" x14ac:dyDescent="0.3">
      <c r="A749" t="s">
        <v>761</v>
      </c>
      <c r="B749" t="s">
        <v>1034</v>
      </c>
      <c r="C749" t="s">
        <v>1033</v>
      </c>
      <c r="D749" s="1">
        <v>45888</v>
      </c>
      <c r="E749" s="1">
        <v>45911</v>
      </c>
      <c r="F749" t="s">
        <v>1016</v>
      </c>
      <c r="G749" t="s">
        <v>1027</v>
      </c>
      <c r="H749" t="s">
        <v>1018</v>
      </c>
      <c r="I749" t="s">
        <v>1018</v>
      </c>
      <c r="J749" t="s">
        <v>1027</v>
      </c>
      <c r="K749">
        <v>0</v>
      </c>
      <c r="L749" t="s">
        <v>1028</v>
      </c>
      <c r="M749">
        <v>35</v>
      </c>
      <c r="N749" t="s">
        <v>1025</v>
      </c>
    </row>
    <row r="750" spans="1:14" x14ac:dyDescent="0.3">
      <c r="A750" t="s">
        <v>762</v>
      </c>
      <c r="B750" t="s">
        <v>1032</v>
      </c>
      <c r="C750" t="s">
        <v>1022</v>
      </c>
      <c r="D750" s="1">
        <v>45684</v>
      </c>
      <c r="E750" s="1">
        <v>45694</v>
      </c>
      <c r="F750" t="s">
        <v>1016</v>
      </c>
      <c r="G750" t="s">
        <v>1027</v>
      </c>
      <c r="H750" t="s">
        <v>1018</v>
      </c>
      <c r="I750" t="s">
        <v>1018</v>
      </c>
      <c r="J750" t="s">
        <v>1027</v>
      </c>
      <c r="K750">
        <v>0</v>
      </c>
      <c r="L750" t="s">
        <v>1028</v>
      </c>
      <c r="M750">
        <v>15</v>
      </c>
      <c r="N750" t="s">
        <v>1030</v>
      </c>
    </row>
    <row r="751" spans="1:14" x14ac:dyDescent="0.3">
      <c r="A751" t="s">
        <v>763</v>
      </c>
      <c r="B751" t="s">
        <v>1037</v>
      </c>
      <c r="C751" t="s">
        <v>1033</v>
      </c>
      <c r="D751" s="1">
        <v>45803</v>
      </c>
      <c r="E751" s="1">
        <v>45811</v>
      </c>
      <c r="F751" t="s">
        <v>1016</v>
      </c>
      <c r="G751" t="s">
        <v>1027</v>
      </c>
      <c r="H751" t="s">
        <v>1018</v>
      </c>
      <c r="I751" t="s">
        <v>1018</v>
      </c>
      <c r="J751" t="s">
        <v>1027</v>
      </c>
      <c r="K751">
        <v>0</v>
      </c>
      <c r="L751" t="s">
        <v>1028</v>
      </c>
      <c r="M751">
        <v>35</v>
      </c>
      <c r="N751" t="s">
        <v>1025</v>
      </c>
    </row>
    <row r="752" spans="1:14" x14ac:dyDescent="0.3">
      <c r="A752" t="s">
        <v>764</v>
      </c>
      <c r="B752" t="s">
        <v>1032</v>
      </c>
      <c r="C752" t="s">
        <v>1031</v>
      </c>
      <c r="D752" s="1">
        <v>45734</v>
      </c>
      <c r="E752" s="1">
        <v>45761</v>
      </c>
      <c r="F752" t="s">
        <v>1016</v>
      </c>
      <c r="G752" t="s">
        <v>1027</v>
      </c>
      <c r="H752" t="s">
        <v>1018</v>
      </c>
      <c r="I752" t="s">
        <v>1018</v>
      </c>
      <c r="J752" t="s">
        <v>1027</v>
      </c>
      <c r="K752">
        <v>0</v>
      </c>
      <c r="L752" t="s">
        <v>1028</v>
      </c>
      <c r="M752">
        <v>41</v>
      </c>
      <c r="N752" t="s">
        <v>1021</v>
      </c>
    </row>
    <row r="753" spans="1:14" x14ac:dyDescent="0.3">
      <c r="A753" t="s">
        <v>765</v>
      </c>
      <c r="B753" t="s">
        <v>1034</v>
      </c>
      <c r="C753" t="s">
        <v>1022</v>
      </c>
      <c r="D753" s="1">
        <v>45916</v>
      </c>
      <c r="E753" s="1">
        <v>45958</v>
      </c>
      <c r="F753" t="s">
        <v>1018</v>
      </c>
      <c r="G753" t="s">
        <v>1027</v>
      </c>
      <c r="H753" t="s">
        <v>1018</v>
      </c>
      <c r="I753" t="s">
        <v>1018</v>
      </c>
      <c r="J753" t="s">
        <v>1027</v>
      </c>
      <c r="K753">
        <v>0</v>
      </c>
      <c r="L753" t="s">
        <v>1028</v>
      </c>
      <c r="M753">
        <v>51</v>
      </c>
      <c r="N753" t="s">
        <v>1021</v>
      </c>
    </row>
    <row r="754" spans="1:14" x14ac:dyDescent="0.3">
      <c r="A754" t="s">
        <v>766</v>
      </c>
      <c r="B754" t="s">
        <v>1014</v>
      </c>
      <c r="C754" t="s">
        <v>1035</v>
      </c>
      <c r="D754" s="1">
        <v>45986</v>
      </c>
      <c r="E754" s="1">
        <v>46014</v>
      </c>
      <c r="F754" t="s">
        <v>1016</v>
      </c>
      <c r="G754" t="s">
        <v>1017</v>
      </c>
      <c r="H754" t="s">
        <v>1018</v>
      </c>
      <c r="I754" t="s">
        <v>1018</v>
      </c>
      <c r="J754" t="s">
        <v>1019</v>
      </c>
      <c r="K754">
        <v>26077</v>
      </c>
      <c r="L754" t="s">
        <v>1020</v>
      </c>
      <c r="M754">
        <v>64</v>
      </c>
      <c r="N754" t="s">
        <v>1036</v>
      </c>
    </row>
    <row r="755" spans="1:14" x14ac:dyDescent="0.3">
      <c r="A755" t="s">
        <v>767</v>
      </c>
      <c r="B755" t="s">
        <v>1037</v>
      </c>
      <c r="C755" t="s">
        <v>1033</v>
      </c>
      <c r="D755" s="1">
        <v>45685</v>
      </c>
      <c r="E755" s="1">
        <v>45687</v>
      </c>
      <c r="F755" t="s">
        <v>1016</v>
      </c>
      <c r="G755" t="s">
        <v>1023</v>
      </c>
      <c r="H755" t="s">
        <v>1016</v>
      </c>
      <c r="I755" t="s">
        <v>1018</v>
      </c>
      <c r="J755" t="s">
        <v>1027</v>
      </c>
      <c r="K755">
        <v>0</v>
      </c>
      <c r="L755" t="s">
        <v>1028</v>
      </c>
      <c r="M755">
        <v>38</v>
      </c>
      <c r="N755" t="s">
        <v>1025</v>
      </c>
    </row>
    <row r="756" spans="1:14" x14ac:dyDescent="0.3">
      <c r="A756" t="s">
        <v>768</v>
      </c>
      <c r="B756" t="s">
        <v>1014</v>
      </c>
      <c r="C756" t="s">
        <v>1015</v>
      </c>
      <c r="D756" s="1">
        <v>45708</v>
      </c>
      <c r="E756" s="1">
        <v>45750</v>
      </c>
      <c r="F756" t="s">
        <v>1018</v>
      </c>
      <c r="G756" t="s">
        <v>1023</v>
      </c>
      <c r="H756" t="s">
        <v>1016</v>
      </c>
      <c r="I756" t="s">
        <v>1016</v>
      </c>
      <c r="J756" t="s">
        <v>1019</v>
      </c>
      <c r="K756">
        <v>178542</v>
      </c>
      <c r="L756" t="s">
        <v>1020</v>
      </c>
      <c r="M756">
        <v>69</v>
      </c>
      <c r="N756" t="s">
        <v>1021</v>
      </c>
    </row>
    <row r="757" spans="1:14" x14ac:dyDescent="0.3">
      <c r="A757" t="s">
        <v>769</v>
      </c>
      <c r="B757" t="s">
        <v>1034</v>
      </c>
      <c r="C757" t="s">
        <v>1015</v>
      </c>
      <c r="D757" s="1">
        <v>45832</v>
      </c>
      <c r="E757" s="1">
        <v>45854</v>
      </c>
      <c r="F757" t="s">
        <v>1016</v>
      </c>
      <c r="G757" t="s">
        <v>1027</v>
      </c>
      <c r="H757" t="s">
        <v>1018</v>
      </c>
      <c r="I757" t="s">
        <v>1018</v>
      </c>
      <c r="J757" t="s">
        <v>1027</v>
      </c>
      <c r="K757">
        <v>0</v>
      </c>
      <c r="L757" t="s">
        <v>1028</v>
      </c>
      <c r="M757">
        <v>41</v>
      </c>
      <c r="N757" t="s">
        <v>1025</v>
      </c>
    </row>
    <row r="758" spans="1:14" x14ac:dyDescent="0.3">
      <c r="A758" t="s">
        <v>770</v>
      </c>
      <c r="B758" t="s">
        <v>1037</v>
      </c>
      <c r="C758" t="s">
        <v>1035</v>
      </c>
      <c r="D758" s="1">
        <v>45933</v>
      </c>
      <c r="E758" s="1">
        <v>45961</v>
      </c>
      <c r="F758" t="s">
        <v>1016</v>
      </c>
      <c r="G758" t="s">
        <v>1017</v>
      </c>
      <c r="H758" t="s">
        <v>1018</v>
      </c>
      <c r="I758" t="s">
        <v>1018</v>
      </c>
      <c r="J758" t="s">
        <v>1019</v>
      </c>
      <c r="K758">
        <v>37070</v>
      </c>
      <c r="L758" t="s">
        <v>1020</v>
      </c>
      <c r="M758">
        <v>34</v>
      </c>
      <c r="N758" t="s">
        <v>1030</v>
      </c>
    </row>
    <row r="759" spans="1:14" x14ac:dyDescent="0.3">
      <c r="A759" t="s">
        <v>771</v>
      </c>
      <c r="B759" t="s">
        <v>1014</v>
      </c>
      <c r="C759" t="s">
        <v>1031</v>
      </c>
      <c r="D759" s="1">
        <v>45738</v>
      </c>
      <c r="E759" s="1">
        <v>45742</v>
      </c>
      <c r="F759" t="s">
        <v>1016</v>
      </c>
      <c r="G759" t="s">
        <v>1017</v>
      </c>
      <c r="H759" t="s">
        <v>1018</v>
      </c>
      <c r="I759" t="s">
        <v>1018</v>
      </c>
      <c r="J759" t="s">
        <v>1019</v>
      </c>
      <c r="K759">
        <v>28385</v>
      </c>
      <c r="L759" t="s">
        <v>1024</v>
      </c>
      <c r="M759">
        <v>29</v>
      </c>
      <c r="N759" t="s">
        <v>1036</v>
      </c>
    </row>
    <row r="760" spans="1:14" x14ac:dyDescent="0.3">
      <c r="A760" t="s">
        <v>772</v>
      </c>
      <c r="B760" t="s">
        <v>1029</v>
      </c>
      <c r="C760" t="s">
        <v>1022</v>
      </c>
      <c r="D760" s="1">
        <v>45974</v>
      </c>
      <c r="E760" s="1">
        <v>45995</v>
      </c>
      <c r="F760" t="s">
        <v>1016</v>
      </c>
      <c r="G760" t="s">
        <v>1027</v>
      </c>
      <c r="H760" t="s">
        <v>1018</v>
      </c>
      <c r="I760" t="s">
        <v>1018</v>
      </c>
      <c r="J760" t="s">
        <v>1027</v>
      </c>
      <c r="K760">
        <v>0</v>
      </c>
      <c r="L760" t="s">
        <v>1028</v>
      </c>
      <c r="M760">
        <v>52</v>
      </c>
      <c r="N760" t="s">
        <v>1036</v>
      </c>
    </row>
    <row r="761" spans="1:14" x14ac:dyDescent="0.3">
      <c r="A761" t="s">
        <v>773</v>
      </c>
      <c r="B761" t="s">
        <v>1029</v>
      </c>
      <c r="C761" t="s">
        <v>1033</v>
      </c>
      <c r="D761" s="1">
        <v>45689</v>
      </c>
      <c r="E761" s="1">
        <v>45692</v>
      </c>
      <c r="F761" t="s">
        <v>1016</v>
      </c>
      <c r="G761" t="s">
        <v>1023</v>
      </c>
      <c r="H761" t="s">
        <v>1016</v>
      </c>
      <c r="I761" t="s">
        <v>1016</v>
      </c>
      <c r="J761" t="s">
        <v>1019</v>
      </c>
      <c r="K761">
        <v>141205</v>
      </c>
      <c r="L761" t="s">
        <v>1020</v>
      </c>
      <c r="M761">
        <v>15</v>
      </c>
      <c r="N761" t="s">
        <v>1036</v>
      </c>
    </row>
    <row r="762" spans="1:14" x14ac:dyDescent="0.3">
      <c r="A762" t="s">
        <v>774</v>
      </c>
      <c r="B762" t="s">
        <v>1032</v>
      </c>
      <c r="C762" t="s">
        <v>1022</v>
      </c>
      <c r="D762" s="1">
        <v>45711</v>
      </c>
      <c r="E762" s="1">
        <v>45743</v>
      </c>
      <c r="F762" t="s">
        <v>1018</v>
      </c>
      <c r="G762" t="s">
        <v>1027</v>
      </c>
      <c r="H762" t="s">
        <v>1018</v>
      </c>
      <c r="I762" t="s">
        <v>1018</v>
      </c>
      <c r="J762" t="s">
        <v>1027</v>
      </c>
      <c r="K762">
        <v>0</v>
      </c>
      <c r="L762" t="s">
        <v>1028</v>
      </c>
      <c r="M762">
        <v>44</v>
      </c>
      <c r="N762" t="s">
        <v>1030</v>
      </c>
    </row>
    <row r="763" spans="1:14" x14ac:dyDescent="0.3">
      <c r="A763" t="s">
        <v>775</v>
      </c>
      <c r="B763" t="s">
        <v>1029</v>
      </c>
      <c r="C763" t="s">
        <v>1033</v>
      </c>
      <c r="D763" s="1">
        <v>45955</v>
      </c>
      <c r="E763" s="1">
        <v>45966</v>
      </c>
      <c r="F763" t="s">
        <v>1016</v>
      </c>
      <c r="G763" t="s">
        <v>1017</v>
      </c>
      <c r="H763" t="s">
        <v>1018</v>
      </c>
      <c r="I763" t="s">
        <v>1018</v>
      </c>
      <c r="J763" t="s">
        <v>1019</v>
      </c>
      <c r="K763">
        <v>127071</v>
      </c>
      <c r="L763" t="s">
        <v>1020</v>
      </c>
      <c r="M763">
        <v>37</v>
      </c>
      <c r="N763" t="s">
        <v>1036</v>
      </c>
    </row>
    <row r="764" spans="1:14" x14ac:dyDescent="0.3">
      <c r="A764" t="s">
        <v>776</v>
      </c>
      <c r="B764" t="s">
        <v>1032</v>
      </c>
      <c r="C764" t="s">
        <v>1015</v>
      </c>
      <c r="D764" s="1">
        <v>45674</v>
      </c>
      <c r="E764" s="1">
        <v>45694</v>
      </c>
      <c r="F764" t="s">
        <v>1016</v>
      </c>
      <c r="G764" t="s">
        <v>1027</v>
      </c>
      <c r="H764" t="s">
        <v>1018</v>
      </c>
      <c r="I764" t="s">
        <v>1018</v>
      </c>
      <c r="J764" t="s">
        <v>1027</v>
      </c>
      <c r="K764">
        <v>0</v>
      </c>
      <c r="L764" t="s">
        <v>1028</v>
      </c>
      <c r="M764">
        <v>34</v>
      </c>
      <c r="N764" t="s">
        <v>1021</v>
      </c>
    </row>
    <row r="765" spans="1:14" x14ac:dyDescent="0.3">
      <c r="A765" t="s">
        <v>777</v>
      </c>
      <c r="B765" t="s">
        <v>1032</v>
      </c>
      <c r="C765" t="s">
        <v>1035</v>
      </c>
      <c r="D765" s="1">
        <v>45935</v>
      </c>
      <c r="E765" s="1">
        <v>45977</v>
      </c>
      <c r="F765" t="s">
        <v>1018</v>
      </c>
      <c r="G765" t="s">
        <v>1023</v>
      </c>
      <c r="H765" t="s">
        <v>1016</v>
      </c>
      <c r="I765" t="s">
        <v>1016</v>
      </c>
      <c r="J765" t="s">
        <v>1019</v>
      </c>
      <c r="K765">
        <v>110358</v>
      </c>
      <c r="L765" t="s">
        <v>1020</v>
      </c>
      <c r="M765">
        <v>73</v>
      </c>
      <c r="N765" t="s">
        <v>1021</v>
      </c>
    </row>
    <row r="766" spans="1:14" x14ac:dyDescent="0.3">
      <c r="A766" t="s">
        <v>778</v>
      </c>
      <c r="B766" t="s">
        <v>1032</v>
      </c>
      <c r="C766" t="s">
        <v>1015</v>
      </c>
      <c r="D766" s="1">
        <v>45821</v>
      </c>
      <c r="E766" s="1">
        <v>45848</v>
      </c>
      <c r="F766" t="s">
        <v>1016</v>
      </c>
      <c r="G766" t="s">
        <v>1017</v>
      </c>
      <c r="H766" t="s">
        <v>1018</v>
      </c>
      <c r="I766" t="s">
        <v>1018</v>
      </c>
      <c r="J766" t="s">
        <v>1019</v>
      </c>
      <c r="K766">
        <v>54203</v>
      </c>
      <c r="L766" t="s">
        <v>1020</v>
      </c>
      <c r="M766">
        <v>44</v>
      </c>
      <c r="N766" t="s">
        <v>1025</v>
      </c>
    </row>
    <row r="767" spans="1:14" x14ac:dyDescent="0.3">
      <c r="A767" t="s">
        <v>779</v>
      </c>
      <c r="B767" t="s">
        <v>1014</v>
      </c>
      <c r="C767" t="s">
        <v>1015</v>
      </c>
      <c r="D767" s="1">
        <v>45742</v>
      </c>
      <c r="E767" s="1">
        <v>45775</v>
      </c>
      <c r="F767" t="s">
        <v>1018</v>
      </c>
      <c r="G767" t="s">
        <v>1023</v>
      </c>
      <c r="H767" t="s">
        <v>1016</v>
      </c>
      <c r="I767" t="s">
        <v>1016</v>
      </c>
      <c r="J767" t="s">
        <v>1019</v>
      </c>
      <c r="K767">
        <v>158685</v>
      </c>
      <c r="L767" t="s">
        <v>1020</v>
      </c>
      <c r="M767">
        <v>46</v>
      </c>
      <c r="N767" t="s">
        <v>1030</v>
      </c>
    </row>
    <row r="768" spans="1:14" x14ac:dyDescent="0.3">
      <c r="A768" t="s">
        <v>780</v>
      </c>
      <c r="B768" t="s">
        <v>1032</v>
      </c>
      <c r="C768" t="s">
        <v>1022</v>
      </c>
      <c r="D768" s="1">
        <v>45719</v>
      </c>
      <c r="E768" s="1">
        <v>45761</v>
      </c>
      <c r="F768" t="s">
        <v>1018</v>
      </c>
      <c r="G768" t="s">
        <v>1027</v>
      </c>
      <c r="H768" t="s">
        <v>1018</v>
      </c>
      <c r="I768" t="s">
        <v>1018</v>
      </c>
      <c r="J768" t="s">
        <v>1027</v>
      </c>
      <c r="K768">
        <v>0</v>
      </c>
      <c r="L768" t="s">
        <v>1028</v>
      </c>
      <c r="M768">
        <v>49</v>
      </c>
      <c r="N768" t="s">
        <v>1030</v>
      </c>
    </row>
    <row r="769" spans="1:14" x14ac:dyDescent="0.3">
      <c r="A769" t="s">
        <v>781</v>
      </c>
      <c r="B769" t="s">
        <v>1014</v>
      </c>
      <c r="C769" t="s">
        <v>1022</v>
      </c>
      <c r="D769" s="1">
        <v>45799</v>
      </c>
      <c r="E769" s="1">
        <v>45837</v>
      </c>
      <c r="F769" t="s">
        <v>1018</v>
      </c>
      <c r="G769" t="s">
        <v>1027</v>
      </c>
      <c r="H769" t="s">
        <v>1018</v>
      </c>
      <c r="I769" t="s">
        <v>1018</v>
      </c>
      <c r="J769" t="s">
        <v>1027</v>
      </c>
      <c r="K769">
        <v>0</v>
      </c>
      <c r="L769" t="s">
        <v>1028</v>
      </c>
      <c r="M769">
        <v>44</v>
      </c>
      <c r="N769" t="s">
        <v>1030</v>
      </c>
    </row>
    <row r="770" spans="1:14" x14ac:dyDescent="0.3">
      <c r="A770" t="s">
        <v>782</v>
      </c>
      <c r="B770" t="s">
        <v>1034</v>
      </c>
      <c r="C770" t="s">
        <v>1022</v>
      </c>
      <c r="D770" s="1">
        <v>45947</v>
      </c>
      <c r="E770" s="1">
        <v>45980</v>
      </c>
      <c r="F770" t="s">
        <v>1018</v>
      </c>
      <c r="G770" t="s">
        <v>1017</v>
      </c>
      <c r="H770" t="s">
        <v>1018</v>
      </c>
      <c r="I770" t="s">
        <v>1018</v>
      </c>
      <c r="J770" t="s">
        <v>1019</v>
      </c>
      <c r="K770">
        <v>30738</v>
      </c>
      <c r="L770" t="s">
        <v>1020</v>
      </c>
      <c r="M770">
        <v>41</v>
      </c>
      <c r="N770" t="s">
        <v>1021</v>
      </c>
    </row>
    <row r="771" spans="1:14" x14ac:dyDescent="0.3">
      <c r="A771" t="s">
        <v>783</v>
      </c>
      <c r="B771" t="s">
        <v>1037</v>
      </c>
      <c r="C771" t="s">
        <v>1015</v>
      </c>
      <c r="D771" s="1">
        <v>45956</v>
      </c>
      <c r="E771" s="1">
        <v>45978</v>
      </c>
      <c r="F771" t="s">
        <v>1016</v>
      </c>
      <c r="G771" t="s">
        <v>1023</v>
      </c>
      <c r="H771" t="s">
        <v>1016</v>
      </c>
      <c r="I771" t="s">
        <v>1016</v>
      </c>
      <c r="J771" t="s">
        <v>1019</v>
      </c>
      <c r="K771">
        <v>196032</v>
      </c>
      <c r="L771" t="s">
        <v>1024</v>
      </c>
      <c r="M771">
        <v>38</v>
      </c>
      <c r="N771" t="s">
        <v>1025</v>
      </c>
    </row>
    <row r="772" spans="1:14" x14ac:dyDescent="0.3">
      <c r="A772" t="s">
        <v>784</v>
      </c>
      <c r="B772" t="s">
        <v>1029</v>
      </c>
      <c r="C772" t="s">
        <v>1035</v>
      </c>
      <c r="D772" s="1">
        <v>45707</v>
      </c>
      <c r="E772" s="1">
        <v>45722</v>
      </c>
      <c r="F772" t="s">
        <v>1016</v>
      </c>
      <c r="G772" t="s">
        <v>1027</v>
      </c>
      <c r="H772" t="s">
        <v>1018</v>
      </c>
      <c r="I772" t="s">
        <v>1018</v>
      </c>
      <c r="J772" t="s">
        <v>1027</v>
      </c>
      <c r="K772">
        <v>0</v>
      </c>
      <c r="L772" t="s">
        <v>1028</v>
      </c>
      <c r="M772">
        <v>42</v>
      </c>
      <c r="N772" t="s">
        <v>1021</v>
      </c>
    </row>
    <row r="773" spans="1:14" x14ac:dyDescent="0.3">
      <c r="A773" t="s">
        <v>785</v>
      </c>
      <c r="B773" t="s">
        <v>1034</v>
      </c>
      <c r="C773" t="s">
        <v>1035</v>
      </c>
      <c r="D773" s="1">
        <v>45845</v>
      </c>
      <c r="E773" s="1">
        <v>45886</v>
      </c>
      <c r="F773" t="s">
        <v>1018</v>
      </c>
      <c r="G773" t="s">
        <v>1023</v>
      </c>
      <c r="H773" t="s">
        <v>1016</v>
      </c>
      <c r="I773" t="s">
        <v>1018</v>
      </c>
      <c r="J773" t="s">
        <v>1027</v>
      </c>
      <c r="K773">
        <v>0</v>
      </c>
      <c r="L773" t="s">
        <v>1028</v>
      </c>
      <c r="M773">
        <v>50</v>
      </c>
      <c r="N773" t="s">
        <v>1030</v>
      </c>
    </row>
    <row r="774" spans="1:14" x14ac:dyDescent="0.3">
      <c r="A774" t="s">
        <v>786</v>
      </c>
      <c r="B774" t="s">
        <v>1026</v>
      </c>
      <c r="C774" t="s">
        <v>1031</v>
      </c>
      <c r="D774" s="1">
        <v>45890</v>
      </c>
      <c r="E774" s="1">
        <v>45923</v>
      </c>
      <c r="F774" t="s">
        <v>1018</v>
      </c>
      <c r="G774" t="s">
        <v>1017</v>
      </c>
      <c r="H774" t="s">
        <v>1018</v>
      </c>
      <c r="I774" t="s">
        <v>1018</v>
      </c>
      <c r="J774" t="s">
        <v>1019</v>
      </c>
      <c r="K774">
        <v>6102</v>
      </c>
      <c r="L774" t="s">
        <v>1024</v>
      </c>
      <c r="M774">
        <v>54</v>
      </c>
      <c r="N774" t="s">
        <v>1021</v>
      </c>
    </row>
    <row r="775" spans="1:14" x14ac:dyDescent="0.3">
      <c r="A775" t="s">
        <v>787</v>
      </c>
      <c r="B775" t="s">
        <v>1032</v>
      </c>
      <c r="C775" t="s">
        <v>1033</v>
      </c>
      <c r="D775" s="1">
        <v>45814</v>
      </c>
      <c r="E775" s="1">
        <v>45832</v>
      </c>
      <c r="F775" t="s">
        <v>1016</v>
      </c>
      <c r="G775" t="s">
        <v>1017</v>
      </c>
      <c r="H775" t="s">
        <v>1018</v>
      </c>
      <c r="I775" t="s">
        <v>1018</v>
      </c>
      <c r="J775" t="s">
        <v>1019</v>
      </c>
      <c r="K775">
        <v>143945</v>
      </c>
      <c r="L775" t="s">
        <v>1024</v>
      </c>
      <c r="M775">
        <v>52</v>
      </c>
      <c r="N775" t="s">
        <v>1025</v>
      </c>
    </row>
    <row r="776" spans="1:14" x14ac:dyDescent="0.3">
      <c r="A776" t="s">
        <v>788</v>
      </c>
      <c r="B776" t="s">
        <v>1037</v>
      </c>
      <c r="C776" t="s">
        <v>1015</v>
      </c>
      <c r="D776" s="1">
        <v>45800</v>
      </c>
      <c r="E776" s="1">
        <v>45830</v>
      </c>
      <c r="F776" t="s">
        <v>1016</v>
      </c>
      <c r="G776" t="s">
        <v>1027</v>
      </c>
      <c r="H776" t="s">
        <v>1018</v>
      </c>
      <c r="I776" t="s">
        <v>1018</v>
      </c>
      <c r="J776" t="s">
        <v>1027</v>
      </c>
      <c r="K776">
        <v>0</v>
      </c>
      <c r="L776" t="s">
        <v>1028</v>
      </c>
      <c r="M776">
        <v>52</v>
      </c>
      <c r="N776" t="s">
        <v>1036</v>
      </c>
    </row>
    <row r="777" spans="1:14" x14ac:dyDescent="0.3">
      <c r="A777" t="s">
        <v>789</v>
      </c>
      <c r="B777" t="s">
        <v>1037</v>
      </c>
      <c r="C777" t="s">
        <v>1035</v>
      </c>
      <c r="D777" s="1">
        <v>45816</v>
      </c>
      <c r="E777" s="1">
        <v>45829</v>
      </c>
      <c r="F777" t="s">
        <v>1016</v>
      </c>
      <c r="G777" t="s">
        <v>1017</v>
      </c>
      <c r="H777" t="s">
        <v>1018</v>
      </c>
      <c r="I777" t="s">
        <v>1018</v>
      </c>
      <c r="J777" t="s">
        <v>1019</v>
      </c>
      <c r="K777">
        <v>178456</v>
      </c>
      <c r="L777" t="s">
        <v>1020</v>
      </c>
      <c r="M777">
        <v>51</v>
      </c>
      <c r="N777" t="s">
        <v>1021</v>
      </c>
    </row>
    <row r="778" spans="1:14" x14ac:dyDescent="0.3">
      <c r="A778" t="s">
        <v>790</v>
      </c>
      <c r="B778" t="s">
        <v>1034</v>
      </c>
      <c r="C778" t="s">
        <v>1035</v>
      </c>
      <c r="D778" s="1">
        <v>45863</v>
      </c>
      <c r="E778" s="1">
        <v>45907</v>
      </c>
      <c r="F778" t="s">
        <v>1018</v>
      </c>
      <c r="G778" t="s">
        <v>1027</v>
      </c>
      <c r="H778" t="s">
        <v>1018</v>
      </c>
      <c r="I778" t="s">
        <v>1018</v>
      </c>
      <c r="J778" t="s">
        <v>1027</v>
      </c>
      <c r="K778">
        <v>0</v>
      </c>
      <c r="L778" t="s">
        <v>1028</v>
      </c>
      <c r="M778">
        <v>60</v>
      </c>
      <c r="N778" t="s">
        <v>1025</v>
      </c>
    </row>
    <row r="779" spans="1:14" x14ac:dyDescent="0.3">
      <c r="A779" t="s">
        <v>791</v>
      </c>
      <c r="B779" t="s">
        <v>1032</v>
      </c>
      <c r="C779" t="s">
        <v>1022</v>
      </c>
      <c r="D779" s="1">
        <v>45893</v>
      </c>
      <c r="E779" s="1">
        <v>45927</v>
      </c>
      <c r="F779" t="s">
        <v>1018</v>
      </c>
      <c r="G779" t="s">
        <v>1017</v>
      </c>
      <c r="H779" t="s">
        <v>1018</v>
      </c>
      <c r="I779" t="s">
        <v>1018</v>
      </c>
      <c r="J779" t="s">
        <v>1019</v>
      </c>
      <c r="K779">
        <v>19442</v>
      </c>
      <c r="L779" t="s">
        <v>1020</v>
      </c>
      <c r="M779">
        <v>48</v>
      </c>
      <c r="N779" t="s">
        <v>1025</v>
      </c>
    </row>
    <row r="780" spans="1:14" x14ac:dyDescent="0.3">
      <c r="A780" t="s">
        <v>792</v>
      </c>
      <c r="B780" t="s">
        <v>1034</v>
      </c>
      <c r="C780" t="s">
        <v>1033</v>
      </c>
      <c r="D780" s="1">
        <v>45681</v>
      </c>
      <c r="E780" s="1">
        <v>45705</v>
      </c>
      <c r="F780" t="s">
        <v>1016</v>
      </c>
      <c r="G780" t="s">
        <v>1027</v>
      </c>
      <c r="H780" t="s">
        <v>1018</v>
      </c>
      <c r="I780" t="s">
        <v>1018</v>
      </c>
      <c r="J780" t="s">
        <v>1027</v>
      </c>
      <c r="K780">
        <v>0</v>
      </c>
      <c r="L780" t="s">
        <v>1028</v>
      </c>
      <c r="M780">
        <v>56</v>
      </c>
      <c r="N780" t="s">
        <v>1021</v>
      </c>
    </row>
    <row r="781" spans="1:14" x14ac:dyDescent="0.3">
      <c r="A781" t="s">
        <v>793</v>
      </c>
      <c r="B781" t="s">
        <v>1014</v>
      </c>
      <c r="C781" t="s">
        <v>1015</v>
      </c>
      <c r="D781" s="1">
        <v>45981</v>
      </c>
      <c r="E781" s="1">
        <v>46024</v>
      </c>
      <c r="F781" t="s">
        <v>1018</v>
      </c>
      <c r="G781" t="s">
        <v>1023</v>
      </c>
      <c r="H781" t="s">
        <v>1016</v>
      </c>
      <c r="I781" t="s">
        <v>1016</v>
      </c>
      <c r="J781" t="s">
        <v>1019</v>
      </c>
      <c r="K781">
        <v>7175</v>
      </c>
      <c r="L781" t="s">
        <v>1020</v>
      </c>
      <c r="M781">
        <v>65</v>
      </c>
      <c r="N781" t="s">
        <v>1021</v>
      </c>
    </row>
    <row r="782" spans="1:14" x14ac:dyDescent="0.3">
      <c r="A782" t="s">
        <v>794</v>
      </c>
      <c r="B782" t="s">
        <v>1034</v>
      </c>
      <c r="C782" t="s">
        <v>1031</v>
      </c>
      <c r="D782" s="1">
        <v>45834</v>
      </c>
      <c r="E782" s="1">
        <v>45865</v>
      </c>
      <c r="F782" t="s">
        <v>1018</v>
      </c>
      <c r="G782" t="s">
        <v>1023</v>
      </c>
      <c r="H782" t="s">
        <v>1016</v>
      </c>
      <c r="I782" t="s">
        <v>1018</v>
      </c>
      <c r="J782" t="s">
        <v>1027</v>
      </c>
      <c r="K782">
        <v>0</v>
      </c>
      <c r="L782" t="s">
        <v>1028</v>
      </c>
      <c r="M782">
        <v>56</v>
      </c>
      <c r="N782" t="s">
        <v>1030</v>
      </c>
    </row>
    <row r="783" spans="1:14" x14ac:dyDescent="0.3">
      <c r="A783" t="s">
        <v>795</v>
      </c>
      <c r="B783" t="s">
        <v>1032</v>
      </c>
      <c r="C783" t="s">
        <v>1033</v>
      </c>
      <c r="D783" s="1">
        <v>45853</v>
      </c>
      <c r="E783" s="1">
        <v>45881</v>
      </c>
      <c r="F783" t="s">
        <v>1016</v>
      </c>
      <c r="G783" t="s">
        <v>1023</v>
      </c>
      <c r="H783" t="s">
        <v>1016</v>
      </c>
      <c r="I783" t="s">
        <v>1016</v>
      </c>
      <c r="J783" t="s">
        <v>1019</v>
      </c>
      <c r="K783">
        <v>156797</v>
      </c>
      <c r="L783" t="s">
        <v>1020</v>
      </c>
      <c r="M783">
        <v>64</v>
      </c>
      <c r="N783" t="s">
        <v>1025</v>
      </c>
    </row>
    <row r="784" spans="1:14" x14ac:dyDescent="0.3">
      <c r="A784" t="s">
        <v>796</v>
      </c>
      <c r="B784" t="s">
        <v>1032</v>
      </c>
      <c r="C784" t="s">
        <v>1031</v>
      </c>
      <c r="D784" s="1">
        <v>45853</v>
      </c>
      <c r="E784" s="1">
        <v>45858</v>
      </c>
      <c r="F784" t="s">
        <v>1016</v>
      </c>
      <c r="G784" t="s">
        <v>1023</v>
      </c>
      <c r="H784" t="s">
        <v>1016</v>
      </c>
      <c r="I784" t="s">
        <v>1016</v>
      </c>
      <c r="J784" t="s">
        <v>1019</v>
      </c>
      <c r="K784">
        <v>175149</v>
      </c>
      <c r="L784" t="s">
        <v>1024</v>
      </c>
      <c r="M784">
        <v>36</v>
      </c>
      <c r="N784" t="s">
        <v>1036</v>
      </c>
    </row>
    <row r="785" spans="1:14" x14ac:dyDescent="0.3">
      <c r="A785" t="s">
        <v>797</v>
      </c>
      <c r="B785" t="s">
        <v>1029</v>
      </c>
      <c r="C785" t="s">
        <v>1035</v>
      </c>
      <c r="D785" s="1">
        <v>45942</v>
      </c>
      <c r="E785" s="1">
        <v>45960</v>
      </c>
      <c r="F785" t="s">
        <v>1016</v>
      </c>
      <c r="G785" t="s">
        <v>1027</v>
      </c>
      <c r="H785" t="s">
        <v>1018</v>
      </c>
      <c r="I785" t="s">
        <v>1018</v>
      </c>
      <c r="J785" t="s">
        <v>1027</v>
      </c>
      <c r="K785">
        <v>0</v>
      </c>
      <c r="L785" t="s">
        <v>1028</v>
      </c>
      <c r="M785">
        <v>34</v>
      </c>
      <c r="N785" t="s">
        <v>1036</v>
      </c>
    </row>
    <row r="786" spans="1:14" x14ac:dyDescent="0.3">
      <c r="A786" t="s">
        <v>798</v>
      </c>
      <c r="B786" t="s">
        <v>1032</v>
      </c>
      <c r="C786" t="s">
        <v>1035</v>
      </c>
      <c r="D786" s="1">
        <v>45670</v>
      </c>
      <c r="E786" s="1">
        <v>45682</v>
      </c>
      <c r="F786" t="s">
        <v>1016</v>
      </c>
      <c r="G786" t="s">
        <v>1027</v>
      </c>
      <c r="H786" t="s">
        <v>1018</v>
      </c>
      <c r="I786" t="s">
        <v>1018</v>
      </c>
      <c r="J786" t="s">
        <v>1027</v>
      </c>
      <c r="K786">
        <v>0</v>
      </c>
      <c r="L786" t="s">
        <v>1028</v>
      </c>
      <c r="M786">
        <v>46</v>
      </c>
      <c r="N786" t="s">
        <v>1036</v>
      </c>
    </row>
    <row r="787" spans="1:14" x14ac:dyDescent="0.3">
      <c r="A787" t="s">
        <v>799</v>
      </c>
      <c r="B787" t="s">
        <v>1029</v>
      </c>
      <c r="C787" t="s">
        <v>1033</v>
      </c>
      <c r="D787" s="1">
        <v>45946</v>
      </c>
      <c r="E787" s="1">
        <v>45966</v>
      </c>
      <c r="F787" t="s">
        <v>1016</v>
      </c>
      <c r="G787" t="s">
        <v>1023</v>
      </c>
      <c r="H787" t="s">
        <v>1016</v>
      </c>
      <c r="I787" t="s">
        <v>1016</v>
      </c>
      <c r="J787" t="s">
        <v>1019</v>
      </c>
      <c r="K787">
        <v>196167</v>
      </c>
      <c r="L787" t="s">
        <v>1024</v>
      </c>
      <c r="M787">
        <v>46</v>
      </c>
      <c r="N787" t="s">
        <v>1030</v>
      </c>
    </row>
    <row r="788" spans="1:14" x14ac:dyDescent="0.3">
      <c r="A788" t="s">
        <v>800</v>
      </c>
      <c r="B788" t="s">
        <v>1029</v>
      </c>
      <c r="C788" t="s">
        <v>1022</v>
      </c>
      <c r="D788" s="1">
        <v>45787</v>
      </c>
      <c r="E788" s="1">
        <v>45796</v>
      </c>
      <c r="F788" t="s">
        <v>1016</v>
      </c>
      <c r="G788" t="s">
        <v>1023</v>
      </c>
      <c r="H788" t="s">
        <v>1016</v>
      </c>
      <c r="I788" t="s">
        <v>1016</v>
      </c>
      <c r="J788" t="s">
        <v>1019</v>
      </c>
      <c r="K788">
        <v>120011</v>
      </c>
      <c r="L788" t="s">
        <v>1020</v>
      </c>
      <c r="M788">
        <v>45</v>
      </c>
      <c r="N788" t="s">
        <v>1025</v>
      </c>
    </row>
    <row r="789" spans="1:14" x14ac:dyDescent="0.3">
      <c r="A789" t="s">
        <v>801</v>
      </c>
      <c r="B789" t="s">
        <v>1034</v>
      </c>
      <c r="C789" t="s">
        <v>1015</v>
      </c>
      <c r="D789" s="1">
        <v>45862</v>
      </c>
      <c r="E789" s="1">
        <v>45893</v>
      </c>
      <c r="F789" t="s">
        <v>1018</v>
      </c>
      <c r="G789" t="s">
        <v>1023</v>
      </c>
      <c r="H789" t="s">
        <v>1016</v>
      </c>
      <c r="I789" t="s">
        <v>1016</v>
      </c>
      <c r="J789" t="s">
        <v>1019</v>
      </c>
      <c r="K789">
        <v>50172</v>
      </c>
      <c r="L789" t="s">
        <v>1020</v>
      </c>
      <c r="M789">
        <v>52</v>
      </c>
      <c r="N789" t="s">
        <v>1036</v>
      </c>
    </row>
    <row r="790" spans="1:14" x14ac:dyDescent="0.3">
      <c r="A790" t="s">
        <v>802</v>
      </c>
      <c r="B790" t="s">
        <v>1026</v>
      </c>
      <c r="C790" t="s">
        <v>1022</v>
      </c>
      <c r="D790" s="1">
        <v>46009</v>
      </c>
      <c r="E790" s="1">
        <v>46037</v>
      </c>
      <c r="F790" t="s">
        <v>1016</v>
      </c>
      <c r="G790" t="s">
        <v>1023</v>
      </c>
      <c r="H790" t="s">
        <v>1016</v>
      </c>
      <c r="I790" t="s">
        <v>1016</v>
      </c>
      <c r="J790" t="s">
        <v>1019</v>
      </c>
      <c r="K790">
        <v>114634</v>
      </c>
      <c r="L790" t="s">
        <v>1020</v>
      </c>
      <c r="M790">
        <v>35</v>
      </c>
      <c r="N790" t="s">
        <v>1021</v>
      </c>
    </row>
    <row r="791" spans="1:14" x14ac:dyDescent="0.3">
      <c r="A791" t="s">
        <v>803</v>
      </c>
      <c r="B791" t="s">
        <v>1032</v>
      </c>
      <c r="C791" t="s">
        <v>1033</v>
      </c>
      <c r="D791" s="1">
        <v>45885</v>
      </c>
      <c r="E791" s="1">
        <v>45909</v>
      </c>
      <c r="F791" t="s">
        <v>1016</v>
      </c>
      <c r="G791" t="s">
        <v>1027</v>
      </c>
      <c r="H791" t="s">
        <v>1018</v>
      </c>
      <c r="I791" t="s">
        <v>1018</v>
      </c>
      <c r="J791" t="s">
        <v>1027</v>
      </c>
      <c r="K791">
        <v>0</v>
      </c>
      <c r="L791" t="s">
        <v>1028</v>
      </c>
      <c r="M791">
        <v>52</v>
      </c>
      <c r="N791" t="s">
        <v>1036</v>
      </c>
    </row>
    <row r="792" spans="1:14" x14ac:dyDescent="0.3">
      <c r="A792" t="s">
        <v>804</v>
      </c>
      <c r="B792" t="s">
        <v>1032</v>
      </c>
      <c r="C792" t="s">
        <v>1031</v>
      </c>
      <c r="D792" s="1">
        <v>45915</v>
      </c>
      <c r="E792" s="1">
        <v>45959</v>
      </c>
      <c r="F792" t="s">
        <v>1018</v>
      </c>
      <c r="G792" t="s">
        <v>1027</v>
      </c>
      <c r="H792" t="s">
        <v>1018</v>
      </c>
      <c r="I792" t="s">
        <v>1018</v>
      </c>
      <c r="J792" t="s">
        <v>1027</v>
      </c>
      <c r="K792">
        <v>0</v>
      </c>
      <c r="L792" t="s">
        <v>1028</v>
      </c>
      <c r="M792">
        <v>68</v>
      </c>
      <c r="N792" t="s">
        <v>1030</v>
      </c>
    </row>
    <row r="793" spans="1:14" x14ac:dyDescent="0.3">
      <c r="A793" t="s">
        <v>805</v>
      </c>
      <c r="B793" t="s">
        <v>1032</v>
      </c>
      <c r="C793" t="s">
        <v>1015</v>
      </c>
      <c r="D793" s="1">
        <v>45739</v>
      </c>
      <c r="E793" s="1">
        <v>45767</v>
      </c>
      <c r="F793" t="s">
        <v>1016</v>
      </c>
      <c r="G793" t="s">
        <v>1027</v>
      </c>
      <c r="H793" t="s">
        <v>1018</v>
      </c>
      <c r="I793" t="s">
        <v>1018</v>
      </c>
      <c r="J793" t="s">
        <v>1027</v>
      </c>
      <c r="K793">
        <v>0</v>
      </c>
      <c r="L793" t="s">
        <v>1028</v>
      </c>
      <c r="M793">
        <v>47</v>
      </c>
      <c r="N793" t="s">
        <v>1021</v>
      </c>
    </row>
    <row r="794" spans="1:14" x14ac:dyDescent="0.3">
      <c r="A794" t="s">
        <v>806</v>
      </c>
      <c r="B794" t="s">
        <v>1034</v>
      </c>
      <c r="C794" t="s">
        <v>1033</v>
      </c>
      <c r="D794" s="1">
        <v>45779</v>
      </c>
      <c r="E794" s="1">
        <v>45805</v>
      </c>
      <c r="F794" t="s">
        <v>1016</v>
      </c>
      <c r="G794" t="s">
        <v>1023</v>
      </c>
      <c r="H794" t="s">
        <v>1016</v>
      </c>
      <c r="I794" t="s">
        <v>1016</v>
      </c>
      <c r="J794" t="s">
        <v>1019</v>
      </c>
      <c r="K794">
        <v>117979</v>
      </c>
      <c r="L794" t="s">
        <v>1020</v>
      </c>
      <c r="M794">
        <v>44</v>
      </c>
      <c r="N794" t="s">
        <v>1036</v>
      </c>
    </row>
    <row r="795" spans="1:14" x14ac:dyDescent="0.3">
      <c r="A795" t="s">
        <v>807</v>
      </c>
      <c r="B795" t="s">
        <v>1014</v>
      </c>
      <c r="C795" t="s">
        <v>1035</v>
      </c>
      <c r="D795" s="1">
        <v>45879</v>
      </c>
      <c r="E795" s="1">
        <v>45882</v>
      </c>
      <c r="F795" t="s">
        <v>1016</v>
      </c>
      <c r="G795" t="s">
        <v>1017</v>
      </c>
      <c r="H795" t="s">
        <v>1018</v>
      </c>
      <c r="I795" t="s">
        <v>1018</v>
      </c>
      <c r="J795" t="s">
        <v>1019</v>
      </c>
      <c r="K795">
        <v>31517</v>
      </c>
      <c r="L795" t="s">
        <v>1020</v>
      </c>
      <c r="M795">
        <v>24</v>
      </c>
      <c r="N795" t="s">
        <v>1030</v>
      </c>
    </row>
    <row r="796" spans="1:14" x14ac:dyDescent="0.3">
      <c r="A796" t="s">
        <v>808</v>
      </c>
      <c r="B796" t="s">
        <v>1029</v>
      </c>
      <c r="C796" t="s">
        <v>1031</v>
      </c>
      <c r="D796" s="1">
        <v>45934</v>
      </c>
      <c r="E796" s="1">
        <v>45965</v>
      </c>
      <c r="F796" t="s">
        <v>1018</v>
      </c>
      <c r="G796" t="s">
        <v>1023</v>
      </c>
      <c r="H796" t="s">
        <v>1016</v>
      </c>
      <c r="I796" t="s">
        <v>1016</v>
      </c>
      <c r="J796" t="s">
        <v>1019</v>
      </c>
      <c r="K796">
        <v>12717</v>
      </c>
      <c r="L796" t="s">
        <v>1020</v>
      </c>
      <c r="M796">
        <v>56</v>
      </c>
      <c r="N796" t="s">
        <v>1025</v>
      </c>
    </row>
    <row r="797" spans="1:14" x14ac:dyDescent="0.3">
      <c r="A797" t="s">
        <v>809</v>
      </c>
      <c r="B797" t="s">
        <v>1037</v>
      </c>
      <c r="C797" t="s">
        <v>1015</v>
      </c>
      <c r="D797" s="1">
        <v>45664</v>
      </c>
      <c r="E797" s="1">
        <v>45672</v>
      </c>
      <c r="F797" t="s">
        <v>1016</v>
      </c>
      <c r="G797" t="s">
        <v>1027</v>
      </c>
      <c r="H797" t="s">
        <v>1018</v>
      </c>
      <c r="I797" t="s">
        <v>1018</v>
      </c>
      <c r="J797" t="s">
        <v>1027</v>
      </c>
      <c r="K797">
        <v>0</v>
      </c>
      <c r="L797" t="s">
        <v>1028</v>
      </c>
      <c r="M797">
        <v>40</v>
      </c>
      <c r="N797" t="s">
        <v>1025</v>
      </c>
    </row>
    <row r="798" spans="1:14" x14ac:dyDescent="0.3">
      <c r="A798" t="s">
        <v>810</v>
      </c>
      <c r="B798" t="s">
        <v>1032</v>
      </c>
      <c r="C798" t="s">
        <v>1022</v>
      </c>
      <c r="D798" s="1">
        <v>45814</v>
      </c>
      <c r="E798" s="1">
        <v>45848</v>
      </c>
      <c r="F798" t="s">
        <v>1018</v>
      </c>
      <c r="G798" t="s">
        <v>1017</v>
      </c>
      <c r="H798" t="s">
        <v>1018</v>
      </c>
      <c r="I798" t="s">
        <v>1018</v>
      </c>
      <c r="J798" t="s">
        <v>1019</v>
      </c>
      <c r="K798">
        <v>134369</v>
      </c>
      <c r="L798" t="s">
        <v>1024</v>
      </c>
      <c r="M798">
        <v>66</v>
      </c>
      <c r="N798" t="s">
        <v>1025</v>
      </c>
    </row>
    <row r="799" spans="1:14" x14ac:dyDescent="0.3">
      <c r="A799" t="s">
        <v>811</v>
      </c>
      <c r="B799" t="s">
        <v>1034</v>
      </c>
      <c r="C799" t="s">
        <v>1031</v>
      </c>
      <c r="D799" s="1">
        <v>45741</v>
      </c>
      <c r="E799" s="1">
        <v>45752</v>
      </c>
      <c r="F799" t="s">
        <v>1016</v>
      </c>
      <c r="G799" t="s">
        <v>1023</v>
      </c>
      <c r="H799" t="s">
        <v>1016</v>
      </c>
      <c r="I799" t="s">
        <v>1016</v>
      </c>
      <c r="J799" t="s">
        <v>1019</v>
      </c>
      <c r="K799">
        <v>118028</v>
      </c>
      <c r="L799" t="s">
        <v>1020</v>
      </c>
      <c r="M799">
        <v>25</v>
      </c>
      <c r="N799" t="s">
        <v>1025</v>
      </c>
    </row>
    <row r="800" spans="1:14" x14ac:dyDescent="0.3">
      <c r="A800" t="s">
        <v>812</v>
      </c>
      <c r="B800" t="s">
        <v>1026</v>
      </c>
      <c r="C800" t="s">
        <v>1033</v>
      </c>
      <c r="D800" s="1">
        <v>45820</v>
      </c>
      <c r="E800" s="1">
        <v>45862</v>
      </c>
      <c r="F800" t="s">
        <v>1018</v>
      </c>
      <c r="G800" t="s">
        <v>1017</v>
      </c>
      <c r="H800" t="s">
        <v>1018</v>
      </c>
      <c r="I800" t="s">
        <v>1018</v>
      </c>
      <c r="J800" t="s">
        <v>1019</v>
      </c>
      <c r="K800">
        <v>145549</v>
      </c>
      <c r="L800" t="s">
        <v>1020</v>
      </c>
      <c r="M800">
        <v>50</v>
      </c>
      <c r="N800" t="s">
        <v>1021</v>
      </c>
    </row>
    <row r="801" spans="1:14" x14ac:dyDescent="0.3">
      <c r="A801" t="s">
        <v>813</v>
      </c>
      <c r="B801" t="s">
        <v>1014</v>
      </c>
      <c r="C801" t="s">
        <v>1033</v>
      </c>
      <c r="D801" s="1">
        <v>45728</v>
      </c>
      <c r="E801" s="1">
        <v>45765</v>
      </c>
      <c r="F801" t="s">
        <v>1018</v>
      </c>
      <c r="G801" t="s">
        <v>1023</v>
      </c>
      <c r="H801" t="s">
        <v>1016</v>
      </c>
      <c r="I801" t="s">
        <v>1016</v>
      </c>
      <c r="J801" t="s">
        <v>1019</v>
      </c>
      <c r="K801">
        <v>14833</v>
      </c>
      <c r="L801" t="s">
        <v>1020</v>
      </c>
      <c r="M801">
        <v>76</v>
      </c>
      <c r="N801" t="s">
        <v>1030</v>
      </c>
    </row>
    <row r="802" spans="1:14" x14ac:dyDescent="0.3">
      <c r="A802" t="s">
        <v>814</v>
      </c>
      <c r="B802" t="s">
        <v>1032</v>
      </c>
      <c r="C802" t="s">
        <v>1031</v>
      </c>
      <c r="D802" s="1">
        <v>45700</v>
      </c>
      <c r="E802" s="1">
        <v>45724</v>
      </c>
      <c r="F802" t="s">
        <v>1016</v>
      </c>
      <c r="G802" t="s">
        <v>1017</v>
      </c>
      <c r="H802" t="s">
        <v>1018</v>
      </c>
      <c r="I802" t="s">
        <v>1018</v>
      </c>
      <c r="J802" t="s">
        <v>1019</v>
      </c>
      <c r="K802">
        <v>46312</v>
      </c>
      <c r="L802" t="s">
        <v>1020</v>
      </c>
      <c r="M802">
        <v>35</v>
      </c>
      <c r="N802" t="s">
        <v>1025</v>
      </c>
    </row>
    <row r="803" spans="1:14" x14ac:dyDescent="0.3">
      <c r="A803" t="s">
        <v>815</v>
      </c>
      <c r="B803" t="s">
        <v>1037</v>
      </c>
      <c r="C803" t="s">
        <v>1031</v>
      </c>
      <c r="D803" s="1">
        <v>45724</v>
      </c>
      <c r="E803" s="1">
        <v>45750</v>
      </c>
      <c r="F803" t="s">
        <v>1016</v>
      </c>
      <c r="G803" t="s">
        <v>1027</v>
      </c>
      <c r="H803" t="s">
        <v>1018</v>
      </c>
      <c r="I803" t="s">
        <v>1018</v>
      </c>
      <c r="J803" t="s">
        <v>1027</v>
      </c>
      <c r="K803">
        <v>0</v>
      </c>
      <c r="L803" t="s">
        <v>1028</v>
      </c>
      <c r="M803">
        <v>56</v>
      </c>
      <c r="N803" t="s">
        <v>1030</v>
      </c>
    </row>
    <row r="804" spans="1:14" x14ac:dyDescent="0.3">
      <c r="A804" t="s">
        <v>816</v>
      </c>
      <c r="B804" t="s">
        <v>1026</v>
      </c>
      <c r="C804" t="s">
        <v>1022</v>
      </c>
      <c r="D804" s="1">
        <v>45716</v>
      </c>
      <c r="E804" s="1">
        <v>45718</v>
      </c>
      <c r="F804" t="s">
        <v>1016</v>
      </c>
      <c r="G804" t="s">
        <v>1023</v>
      </c>
      <c r="H804" t="s">
        <v>1016</v>
      </c>
      <c r="I804" t="s">
        <v>1018</v>
      </c>
      <c r="J804" t="s">
        <v>1027</v>
      </c>
      <c r="K804">
        <v>0</v>
      </c>
      <c r="L804" t="s">
        <v>1028</v>
      </c>
      <c r="M804">
        <v>23</v>
      </c>
      <c r="N804" t="s">
        <v>1030</v>
      </c>
    </row>
    <row r="805" spans="1:14" x14ac:dyDescent="0.3">
      <c r="A805" t="s">
        <v>817</v>
      </c>
      <c r="B805" t="s">
        <v>1026</v>
      </c>
      <c r="C805" t="s">
        <v>1033</v>
      </c>
      <c r="D805" s="1">
        <v>45852</v>
      </c>
      <c r="E805" s="1">
        <v>45887</v>
      </c>
      <c r="F805" t="s">
        <v>1018</v>
      </c>
      <c r="G805" t="s">
        <v>1027</v>
      </c>
      <c r="H805" t="s">
        <v>1018</v>
      </c>
      <c r="I805" t="s">
        <v>1018</v>
      </c>
      <c r="J805" t="s">
        <v>1027</v>
      </c>
      <c r="K805">
        <v>0</v>
      </c>
      <c r="L805" t="s">
        <v>1028</v>
      </c>
      <c r="M805">
        <v>53</v>
      </c>
      <c r="N805" t="s">
        <v>1030</v>
      </c>
    </row>
    <row r="806" spans="1:14" x14ac:dyDescent="0.3">
      <c r="A806" t="s">
        <v>818</v>
      </c>
      <c r="B806" t="s">
        <v>1029</v>
      </c>
      <c r="C806" t="s">
        <v>1033</v>
      </c>
      <c r="D806" s="1">
        <v>45801</v>
      </c>
      <c r="E806" s="1">
        <v>45813</v>
      </c>
      <c r="F806" t="s">
        <v>1016</v>
      </c>
      <c r="G806" t="s">
        <v>1023</v>
      </c>
      <c r="H806" t="s">
        <v>1016</v>
      </c>
      <c r="I806" t="s">
        <v>1016</v>
      </c>
      <c r="J806" t="s">
        <v>1019</v>
      </c>
      <c r="K806">
        <v>164263</v>
      </c>
      <c r="L806" t="s">
        <v>1020</v>
      </c>
      <c r="M806">
        <v>45</v>
      </c>
      <c r="N806" t="s">
        <v>1030</v>
      </c>
    </row>
    <row r="807" spans="1:14" x14ac:dyDescent="0.3">
      <c r="A807" t="s">
        <v>819</v>
      </c>
      <c r="B807" t="s">
        <v>1032</v>
      </c>
      <c r="C807" t="s">
        <v>1022</v>
      </c>
      <c r="D807" s="1">
        <v>45762</v>
      </c>
      <c r="E807" s="1">
        <v>45805</v>
      </c>
      <c r="F807" t="s">
        <v>1018</v>
      </c>
      <c r="G807" t="s">
        <v>1027</v>
      </c>
      <c r="H807" t="s">
        <v>1018</v>
      </c>
      <c r="I807" t="s">
        <v>1018</v>
      </c>
      <c r="J807" t="s">
        <v>1027</v>
      </c>
      <c r="K807">
        <v>0</v>
      </c>
      <c r="L807" t="s">
        <v>1028</v>
      </c>
      <c r="M807">
        <v>77</v>
      </c>
      <c r="N807" t="s">
        <v>1021</v>
      </c>
    </row>
    <row r="808" spans="1:14" x14ac:dyDescent="0.3">
      <c r="A808" t="s">
        <v>820</v>
      </c>
      <c r="B808" t="s">
        <v>1014</v>
      </c>
      <c r="C808" t="s">
        <v>1031</v>
      </c>
      <c r="D808" s="1">
        <v>45816</v>
      </c>
      <c r="E808" s="1">
        <v>45841</v>
      </c>
      <c r="F808" t="s">
        <v>1016</v>
      </c>
      <c r="G808" t="s">
        <v>1023</v>
      </c>
      <c r="H808" t="s">
        <v>1016</v>
      </c>
      <c r="I808" t="s">
        <v>1018</v>
      </c>
      <c r="J808" t="s">
        <v>1027</v>
      </c>
      <c r="K808">
        <v>0</v>
      </c>
      <c r="L808" t="s">
        <v>1028</v>
      </c>
      <c r="M808">
        <v>53</v>
      </c>
      <c r="N808" t="s">
        <v>1021</v>
      </c>
    </row>
    <row r="809" spans="1:14" x14ac:dyDescent="0.3">
      <c r="A809" t="s">
        <v>821</v>
      </c>
      <c r="B809" t="s">
        <v>1037</v>
      </c>
      <c r="C809" t="s">
        <v>1035</v>
      </c>
      <c r="D809" s="1">
        <v>45925</v>
      </c>
      <c r="E809" s="1">
        <v>45968</v>
      </c>
      <c r="F809" t="s">
        <v>1018</v>
      </c>
      <c r="G809" t="s">
        <v>1023</v>
      </c>
      <c r="H809" t="s">
        <v>1016</v>
      </c>
      <c r="I809" t="s">
        <v>1016</v>
      </c>
      <c r="J809" t="s">
        <v>1019</v>
      </c>
      <c r="K809">
        <v>117233</v>
      </c>
      <c r="L809" t="s">
        <v>1020</v>
      </c>
      <c r="M809">
        <v>79</v>
      </c>
      <c r="N809" t="s">
        <v>1021</v>
      </c>
    </row>
    <row r="810" spans="1:14" x14ac:dyDescent="0.3">
      <c r="A810" t="s">
        <v>822</v>
      </c>
      <c r="B810" t="s">
        <v>1032</v>
      </c>
      <c r="C810" t="s">
        <v>1031</v>
      </c>
      <c r="D810" s="1">
        <v>45983</v>
      </c>
      <c r="E810" s="1">
        <v>45988</v>
      </c>
      <c r="F810" t="s">
        <v>1016</v>
      </c>
      <c r="G810" t="s">
        <v>1027</v>
      </c>
      <c r="H810" t="s">
        <v>1018</v>
      </c>
      <c r="I810" t="s">
        <v>1018</v>
      </c>
      <c r="J810" t="s">
        <v>1027</v>
      </c>
      <c r="K810">
        <v>0</v>
      </c>
      <c r="L810" t="s">
        <v>1028</v>
      </c>
      <c r="M810">
        <v>10</v>
      </c>
      <c r="N810" t="s">
        <v>1030</v>
      </c>
    </row>
    <row r="811" spans="1:14" x14ac:dyDescent="0.3">
      <c r="A811" t="s">
        <v>823</v>
      </c>
      <c r="B811" t="s">
        <v>1014</v>
      </c>
      <c r="C811" t="s">
        <v>1022</v>
      </c>
      <c r="D811" s="1">
        <v>45774</v>
      </c>
      <c r="E811" s="1">
        <v>45791</v>
      </c>
      <c r="F811" t="s">
        <v>1016</v>
      </c>
      <c r="G811" t="s">
        <v>1023</v>
      </c>
      <c r="H811" t="s">
        <v>1016</v>
      </c>
      <c r="I811" t="s">
        <v>1016</v>
      </c>
      <c r="J811" t="s">
        <v>1019</v>
      </c>
      <c r="K811">
        <v>52446</v>
      </c>
      <c r="L811" t="s">
        <v>1020</v>
      </c>
      <c r="M811">
        <v>52</v>
      </c>
      <c r="N811" t="s">
        <v>1025</v>
      </c>
    </row>
    <row r="812" spans="1:14" x14ac:dyDescent="0.3">
      <c r="A812" t="s">
        <v>824</v>
      </c>
      <c r="B812" t="s">
        <v>1014</v>
      </c>
      <c r="C812" t="s">
        <v>1022</v>
      </c>
      <c r="D812" s="1">
        <v>45926</v>
      </c>
      <c r="E812" s="1">
        <v>45957</v>
      </c>
      <c r="F812" t="s">
        <v>1018</v>
      </c>
      <c r="G812" t="s">
        <v>1023</v>
      </c>
      <c r="H812" t="s">
        <v>1016</v>
      </c>
      <c r="I812" t="s">
        <v>1016</v>
      </c>
      <c r="J812" t="s">
        <v>1019</v>
      </c>
      <c r="K812">
        <v>156213</v>
      </c>
      <c r="L812" t="s">
        <v>1020</v>
      </c>
      <c r="M812">
        <v>66</v>
      </c>
      <c r="N812" t="s">
        <v>1030</v>
      </c>
    </row>
    <row r="813" spans="1:14" x14ac:dyDescent="0.3">
      <c r="A813" t="s">
        <v>825</v>
      </c>
      <c r="B813" t="s">
        <v>1029</v>
      </c>
      <c r="C813" t="s">
        <v>1015</v>
      </c>
      <c r="D813" s="1">
        <v>45896</v>
      </c>
      <c r="E813" s="1">
        <v>45911</v>
      </c>
      <c r="F813" t="s">
        <v>1016</v>
      </c>
      <c r="G813" t="s">
        <v>1027</v>
      </c>
      <c r="H813" t="s">
        <v>1018</v>
      </c>
      <c r="I813" t="s">
        <v>1018</v>
      </c>
      <c r="J813" t="s">
        <v>1027</v>
      </c>
      <c r="K813">
        <v>0</v>
      </c>
      <c r="L813" t="s">
        <v>1028</v>
      </c>
      <c r="M813">
        <v>45</v>
      </c>
      <c r="N813" t="s">
        <v>1025</v>
      </c>
    </row>
    <row r="814" spans="1:14" x14ac:dyDescent="0.3">
      <c r="A814" t="s">
        <v>826</v>
      </c>
      <c r="B814" t="s">
        <v>1034</v>
      </c>
      <c r="C814" t="s">
        <v>1033</v>
      </c>
      <c r="D814" s="1">
        <v>45971</v>
      </c>
      <c r="E814" s="1">
        <v>45977</v>
      </c>
      <c r="F814" t="s">
        <v>1016</v>
      </c>
      <c r="G814" t="s">
        <v>1023</v>
      </c>
      <c r="H814" t="s">
        <v>1016</v>
      </c>
      <c r="I814" t="s">
        <v>1016</v>
      </c>
      <c r="J814" t="s">
        <v>1019</v>
      </c>
      <c r="K814">
        <v>153091</v>
      </c>
      <c r="L814" t="s">
        <v>1020</v>
      </c>
      <c r="M814">
        <v>46</v>
      </c>
      <c r="N814" t="s">
        <v>1025</v>
      </c>
    </row>
    <row r="815" spans="1:14" x14ac:dyDescent="0.3">
      <c r="A815" t="s">
        <v>827</v>
      </c>
      <c r="B815" t="s">
        <v>1026</v>
      </c>
      <c r="C815" t="s">
        <v>1031</v>
      </c>
      <c r="D815" s="1">
        <v>45794</v>
      </c>
      <c r="E815" s="1">
        <v>45818</v>
      </c>
      <c r="F815" t="s">
        <v>1016</v>
      </c>
      <c r="G815" t="s">
        <v>1023</v>
      </c>
      <c r="H815" t="s">
        <v>1016</v>
      </c>
      <c r="I815" t="s">
        <v>1016</v>
      </c>
      <c r="J815" t="s">
        <v>1019</v>
      </c>
      <c r="K815">
        <v>91300</v>
      </c>
      <c r="L815" t="s">
        <v>1020</v>
      </c>
      <c r="M815">
        <v>34</v>
      </c>
      <c r="N815" t="s">
        <v>1021</v>
      </c>
    </row>
    <row r="816" spans="1:14" x14ac:dyDescent="0.3">
      <c r="A816" t="s">
        <v>828</v>
      </c>
      <c r="B816" t="s">
        <v>1029</v>
      </c>
      <c r="C816" t="s">
        <v>1033</v>
      </c>
      <c r="D816" s="1">
        <v>45874</v>
      </c>
      <c r="E816" s="1">
        <v>45893</v>
      </c>
      <c r="F816" t="s">
        <v>1016</v>
      </c>
      <c r="G816" t="s">
        <v>1023</v>
      </c>
      <c r="H816" t="s">
        <v>1016</v>
      </c>
      <c r="I816" t="s">
        <v>1016</v>
      </c>
      <c r="J816" t="s">
        <v>1019</v>
      </c>
      <c r="K816">
        <v>42792</v>
      </c>
      <c r="L816" t="s">
        <v>1024</v>
      </c>
      <c r="M816">
        <v>58</v>
      </c>
      <c r="N816" t="s">
        <v>1021</v>
      </c>
    </row>
    <row r="817" spans="1:14" x14ac:dyDescent="0.3">
      <c r="A817" t="s">
        <v>829</v>
      </c>
      <c r="B817" t="s">
        <v>1026</v>
      </c>
      <c r="C817" t="s">
        <v>1035</v>
      </c>
      <c r="D817" s="1">
        <v>45848</v>
      </c>
      <c r="E817" s="1">
        <v>45887</v>
      </c>
      <c r="F817" t="s">
        <v>1018</v>
      </c>
      <c r="G817" t="s">
        <v>1027</v>
      </c>
      <c r="H817" t="s">
        <v>1018</v>
      </c>
      <c r="I817" t="s">
        <v>1018</v>
      </c>
      <c r="J817" t="s">
        <v>1027</v>
      </c>
      <c r="K817">
        <v>0</v>
      </c>
      <c r="L817" t="s">
        <v>1028</v>
      </c>
      <c r="M817">
        <v>64</v>
      </c>
      <c r="N817" t="s">
        <v>1021</v>
      </c>
    </row>
    <row r="818" spans="1:14" x14ac:dyDescent="0.3">
      <c r="A818" t="s">
        <v>830</v>
      </c>
      <c r="B818" t="s">
        <v>1032</v>
      </c>
      <c r="C818" t="s">
        <v>1015</v>
      </c>
      <c r="D818" s="1">
        <v>45733</v>
      </c>
      <c r="E818" s="1">
        <v>45762</v>
      </c>
      <c r="F818" t="s">
        <v>1016</v>
      </c>
      <c r="G818" t="s">
        <v>1027</v>
      </c>
      <c r="H818" t="s">
        <v>1018</v>
      </c>
      <c r="I818" t="s">
        <v>1018</v>
      </c>
      <c r="J818" t="s">
        <v>1027</v>
      </c>
      <c r="K818">
        <v>0</v>
      </c>
      <c r="L818" t="s">
        <v>1028</v>
      </c>
      <c r="M818">
        <v>61</v>
      </c>
      <c r="N818" t="s">
        <v>1036</v>
      </c>
    </row>
    <row r="819" spans="1:14" x14ac:dyDescent="0.3">
      <c r="A819" t="s">
        <v>831</v>
      </c>
      <c r="B819" t="s">
        <v>1014</v>
      </c>
      <c r="C819" t="s">
        <v>1022</v>
      </c>
      <c r="D819" s="1">
        <v>45988</v>
      </c>
      <c r="E819" s="1">
        <v>45997</v>
      </c>
      <c r="F819" t="s">
        <v>1016</v>
      </c>
      <c r="G819" t="s">
        <v>1023</v>
      </c>
      <c r="H819" t="s">
        <v>1016</v>
      </c>
      <c r="I819" t="s">
        <v>1016</v>
      </c>
      <c r="J819" t="s">
        <v>1019</v>
      </c>
      <c r="K819">
        <v>118700</v>
      </c>
      <c r="L819" t="s">
        <v>1020</v>
      </c>
      <c r="M819">
        <v>47</v>
      </c>
      <c r="N819" t="s">
        <v>1025</v>
      </c>
    </row>
    <row r="820" spans="1:14" x14ac:dyDescent="0.3">
      <c r="A820" t="s">
        <v>832</v>
      </c>
      <c r="B820" t="s">
        <v>1037</v>
      </c>
      <c r="C820" t="s">
        <v>1031</v>
      </c>
      <c r="D820" s="1">
        <v>45767</v>
      </c>
      <c r="E820" s="1">
        <v>45806</v>
      </c>
      <c r="F820" t="s">
        <v>1018</v>
      </c>
      <c r="G820" t="s">
        <v>1027</v>
      </c>
      <c r="H820" t="s">
        <v>1018</v>
      </c>
      <c r="I820" t="s">
        <v>1018</v>
      </c>
      <c r="J820" t="s">
        <v>1027</v>
      </c>
      <c r="K820">
        <v>0</v>
      </c>
      <c r="L820" t="s">
        <v>1028</v>
      </c>
      <c r="M820">
        <v>66</v>
      </c>
      <c r="N820" t="s">
        <v>1030</v>
      </c>
    </row>
    <row r="821" spans="1:14" x14ac:dyDescent="0.3">
      <c r="A821" t="s">
        <v>833</v>
      </c>
      <c r="B821" t="s">
        <v>1034</v>
      </c>
      <c r="C821" t="s">
        <v>1022</v>
      </c>
      <c r="D821" s="1">
        <v>45916</v>
      </c>
      <c r="E821" s="1">
        <v>45958</v>
      </c>
      <c r="F821" t="s">
        <v>1018</v>
      </c>
      <c r="G821" t="s">
        <v>1023</v>
      </c>
      <c r="H821" t="s">
        <v>1016</v>
      </c>
      <c r="I821" t="s">
        <v>1018</v>
      </c>
      <c r="J821" t="s">
        <v>1027</v>
      </c>
      <c r="K821">
        <v>0</v>
      </c>
      <c r="L821" t="s">
        <v>1028</v>
      </c>
      <c r="M821">
        <v>59</v>
      </c>
      <c r="N821" t="s">
        <v>1036</v>
      </c>
    </row>
    <row r="822" spans="1:14" x14ac:dyDescent="0.3">
      <c r="A822" t="s">
        <v>834</v>
      </c>
      <c r="B822" t="s">
        <v>1037</v>
      </c>
      <c r="C822" t="s">
        <v>1015</v>
      </c>
      <c r="D822" s="1">
        <v>45683</v>
      </c>
      <c r="E822" s="1">
        <v>45719</v>
      </c>
      <c r="F822" t="s">
        <v>1018</v>
      </c>
      <c r="G822" t="s">
        <v>1023</v>
      </c>
      <c r="H822" t="s">
        <v>1016</v>
      </c>
      <c r="I822" t="s">
        <v>1018</v>
      </c>
      <c r="J822" t="s">
        <v>1027</v>
      </c>
      <c r="K822">
        <v>0</v>
      </c>
      <c r="L822" t="s">
        <v>1028</v>
      </c>
      <c r="M822">
        <v>41</v>
      </c>
      <c r="N822" t="s">
        <v>1036</v>
      </c>
    </row>
    <row r="823" spans="1:14" x14ac:dyDescent="0.3">
      <c r="A823" t="s">
        <v>835</v>
      </c>
      <c r="B823" t="s">
        <v>1037</v>
      </c>
      <c r="C823" t="s">
        <v>1015</v>
      </c>
      <c r="D823" s="1">
        <v>45920</v>
      </c>
      <c r="E823" s="1">
        <v>45957</v>
      </c>
      <c r="F823" t="s">
        <v>1018</v>
      </c>
      <c r="G823" t="s">
        <v>1017</v>
      </c>
      <c r="H823" t="s">
        <v>1018</v>
      </c>
      <c r="I823" t="s">
        <v>1018</v>
      </c>
      <c r="J823" t="s">
        <v>1019</v>
      </c>
      <c r="K823">
        <v>123981</v>
      </c>
      <c r="L823" t="s">
        <v>1020</v>
      </c>
      <c r="M823">
        <v>54</v>
      </c>
      <c r="N823" t="s">
        <v>1030</v>
      </c>
    </row>
    <row r="824" spans="1:14" x14ac:dyDescent="0.3">
      <c r="A824" t="s">
        <v>836</v>
      </c>
      <c r="B824" t="s">
        <v>1032</v>
      </c>
      <c r="C824" t="s">
        <v>1031</v>
      </c>
      <c r="D824" s="1">
        <v>45716</v>
      </c>
      <c r="E824" s="1">
        <v>45761</v>
      </c>
      <c r="F824" t="s">
        <v>1018</v>
      </c>
      <c r="G824" t="s">
        <v>1027</v>
      </c>
      <c r="H824" t="s">
        <v>1018</v>
      </c>
      <c r="I824" t="s">
        <v>1018</v>
      </c>
      <c r="J824" t="s">
        <v>1027</v>
      </c>
      <c r="K824">
        <v>0</v>
      </c>
      <c r="L824" t="s">
        <v>1028</v>
      </c>
      <c r="M824">
        <v>77</v>
      </c>
      <c r="N824" t="s">
        <v>1030</v>
      </c>
    </row>
    <row r="825" spans="1:14" x14ac:dyDescent="0.3">
      <c r="A825" t="s">
        <v>837</v>
      </c>
      <c r="B825" t="s">
        <v>1032</v>
      </c>
      <c r="C825" t="s">
        <v>1035</v>
      </c>
      <c r="D825" s="1">
        <v>45739</v>
      </c>
      <c r="E825" s="1">
        <v>45752</v>
      </c>
      <c r="F825" t="s">
        <v>1016</v>
      </c>
      <c r="G825" t="s">
        <v>1027</v>
      </c>
      <c r="H825" t="s">
        <v>1018</v>
      </c>
      <c r="I825" t="s">
        <v>1018</v>
      </c>
      <c r="J825" t="s">
        <v>1027</v>
      </c>
      <c r="K825">
        <v>0</v>
      </c>
      <c r="L825" t="s">
        <v>1028</v>
      </c>
      <c r="M825">
        <v>36</v>
      </c>
      <c r="N825" t="s">
        <v>1021</v>
      </c>
    </row>
    <row r="826" spans="1:14" x14ac:dyDescent="0.3">
      <c r="A826" t="s">
        <v>838</v>
      </c>
      <c r="B826" t="s">
        <v>1034</v>
      </c>
      <c r="C826" t="s">
        <v>1035</v>
      </c>
      <c r="D826" s="1">
        <v>45998</v>
      </c>
      <c r="E826" s="1">
        <v>46022</v>
      </c>
      <c r="F826" t="s">
        <v>1016</v>
      </c>
      <c r="G826" t="s">
        <v>1023</v>
      </c>
      <c r="H826" t="s">
        <v>1016</v>
      </c>
      <c r="I826" t="s">
        <v>1016</v>
      </c>
      <c r="J826" t="s">
        <v>1019</v>
      </c>
      <c r="K826">
        <v>125007</v>
      </c>
      <c r="L826" t="s">
        <v>1020</v>
      </c>
      <c r="M826">
        <v>57</v>
      </c>
      <c r="N826" t="s">
        <v>1030</v>
      </c>
    </row>
    <row r="827" spans="1:14" x14ac:dyDescent="0.3">
      <c r="A827" t="s">
        <v>839</v>
      </c>
      <c r="B827" t="s">
        <v>1026</v>
      </c>
      <c r="C827" t="s">
        <v>1035</v>
      </c>
      <c r="D827" s="1">
        <v>45916</v>
      </c>
      <c r="E827" s="1">
        <v>45950</v>
      </c>
      <c r="F827" t="s">
        <v>1018</v>
      </c>
      <c r="G827" t="s">
        <v>1023</v>
      </c>
      <c r="H827" t="s">
        <v>1016</v>
      </c>
      <c r="I827" t="s">
        <v>1018</v>
      </c>
      <c r="J827" t="s">
        <v>1027</v>
      </c>
      <c r="K827">
        <v>0</v>
      </c>
      <c r="L827" t="s">
        <v>1028</v>
      </c>
      <c r="M827">
        <v>59</v>
      </c>
      <c r="N827" t="s">
        <v>1030</v>
      </c>
    </row>
    <row r="828" spans="1:14" x14ac:dyDescent="0.3">
      <c r="A828" t="s">
        <v>840</v>
      </c>
      <c r="B828" t="s">
        <v>1029</v>
      </c>
      <c r="C828" t="s">
        <v>1031</v>
      </c>
      <c r="D828" s="1">
        <v>45932</v>
      </c>
      <c r="E828" s="1">
        <v>45961</v>
      </c>
      <c r="F828" t="s">
        <v>1016</v>
      </c>
      <c r="G828" t="s">
        <v>1017</v>
      </c>
      <c r="H828" t="s">
        <v>1018</v>
      </c>
      <c r="I828" t="s">
        <v>1018</v>
      </c>
      <c r="J828" t="s">
        <v>1019</v>
      </c>
      <c r="K828">
        <v>87803</v>
      </c>
      <c r="L828" t="s">
        <v>1020</v>
      </c>
      <c r="M828">
        <v>55</v>
      </c>
      <c r="N828" t="s">
        <v>1036</v>
      </c>
    </row>
    <row r="829" spans="1:14" x14ac:dyDescent="0.3">
      <c r="A829" t="s">
        <v>841</v>
      </c>
      <c r="B829" t="s">
        <v>1026</v>
      </c>
      <c r="C829" t="s">
        <v>1031</v>
      </c>
      <c r="D829" s="1">
        <v>45815</v>
      </c>
      <c r="E829" s="1">
        <v>45841</v>
      </c>
      <c r="F829" t="s">
        <v>1016</v>
      </c>
      <c r="G829" t="s">
        <v>1017</v>
      </c>
      <c r="H829" t="s">
        <v>1018</v>
      </c>
      <c r="I829" t="s">
        <v>1018</v>
      </c>
      <c r="J829" t="s">
        <v>1019</v>
      </c>
      <c r="K829">
        <v>83689</v>
      </c>
      <c r="L829" t="s">
        <v>1020</v>
      </c>
      <c r="M829">
        <v>50</v>
      </c>
      <c r="N829" t="s">
        <v>1036</v>
      </c>
    </row>
    <row r="830" spans="1:14" x14ac:dyDescent="0.3">
      <c r="A830" t="s">
        <v>842</v>
      </c>
      <c r="B830" t="s">
        <v>1037</v>
      </c>
      <c r="C830" t="s">
        <v>1031</v>
      </c>
      <c r="D830" s="1">
        <v>45910</v>
      </c>
      <c r="E830" s="1">
        <v>45940</v>
      </c>
      <c r="F830" t="s">
        <v>1016</v>
      </c>
      <c r="G830" t="s">
        <v>1017</v>
      </c>
      <c r="H830" t="s">
        <v>1018</v>
      </c>
      <c r="I830" t="s">
        <v>1018</v>
      </c>
      <c r="J830" t="s">
        <v>1019</v>
      </c>
      <c r="K830">
        <v>194965</v>
      </c>
      <c r="L830" t="s">
        <v>1020</v>
      </c>
      <c r="M830">
        <v>36</v>
      </c>
      <c r="N830" t="s">
        <v>1030</v>
      </c>
    </row>
    <row r="831" spans="1:14" x14ac:dyDescent="0.3">
      <c r="A831" t="s">
        <v>843</v>
      </c>
      <c r="B831" t="s">
        <v>1029</v>
      </c>
      <c r="C831" t="s">
        <v>1022</v>
      </c>
      <c r="D831" s="1">
        <v>45823</v>
      </c>
      <c r="E831" s="1">
        <v>45864</v>
      </c>
      <c r="F831" t="s">
        <v>1018</v>
      </c>
      <c r="G831" t="s">
        <v>1027</v>
      </c>
      <c r="H831" t="s">
        <v>1018</v>
      </c>
      <c r="I831" t="s">
        <v>1018</v>
      </c>
      <c r="J831" t="s">
        <v>1027</v>
      </c>
      <c r="K831">
        <v>0</v>
      </c>
      <c r="L831" t="s">
        <v>1028</v>
      </c>
      <c r="M831">
        <v>67</v>
      </c>
      <c r="N831" t="s">
        <v>1030</v>
      </c>
    </row>
    <row r="832" spans="1:14" x14ac:dyDescent="0.3">
      <c r="A832" t="s">
        <v>844</v>
      </c>
      <c r="B832" t="s">
        <v>1032</v>
      </c>
      <c r="C832" t="s">
        <v>1033</v>
      </c>
      <c r="D832" s="1">
        <v>45986</v>
      </c>
      <c r="E832" s="1">
        <v>46006</v>
      </c>
      <c r="F832" t="s">
        <v>1016</v>
      </c>
      <c r="G832" t="s">
        <v>1027</v>
      </c>
      <c r="H832" t="s">
        <v>1018</v>
      </c>
      <c r="I832" t="s">
        <v>1018</v>
      </c>
      <c r="J832" t="s">
        <v>1027</v>
      </c>
      <c r="K832">
        <v>0</v>
      </c>
      <c r="L832" t="s">
        <v>1028</v>
      </c>
      <c r="M832">
        <v>57</v>
      </c>
      <c r="N832" t="s">
        <v>1030</v>
      </c>
    </row>
    <row r="833" spans="1:14" x14ac:dyDescent="0.3">
      <c r="A833" t="s">
        <v>845</v>
      </c>
      <c r="B833" t="s">
        <v>1034</v>
      </c>
      <c r="C833" t="s">
        <v>1035</v>
      </c>
      <c r="D833" s="1">
        <v>45794</v>
      </c>
      <c r="E833" s="1">
        <v>45805</v>
      </c>
      <c r="F833" t="s">
        <v>1016</v>
      </c>
      <c r="G833" t="s">
        <v>1023</v>
      </c>
      <c r="H833" t="s">
        <v>1016</v>
      </c>
      <c r="I833" t="s">
        <v>1018</v>
      </c>
      <c r="J833" t="s">
        <v>1027</v>
      </c>
      <c r="K833">
        <v>0</v>
      </c>
      <c r="L833" t="s">
        <v>1028</v>
      </c>
      <c r="M833">
        <v>38</v>
      </c>
      <c r="N833" t="s">
        <v>1030</v>
      </c>
    </row>
    <row r="834" spans="1:14" x14ac:dyDescent="0.3">
      <c r="A834" t="s">
        <v>846</v>
      </c>
      <c r="B834" t="s">
        <v>1014</v>
      </c>
      <c r="C834" t="s">
        <v>1033</v>
      </c>
      <c r="D834" s="1">
        <v>45890</v>
      </c>
      <c r="E834" s="1">
        <v>45932</v>
      </c>
      <c r="F834" t="s">
        <v>1018</v>
      </c>
      <c r="G834" t="s">
        <v>1027</v>
      </c>
      <c r="H834" t="s">
        <v>1018</v>
      </c>
      <c r="I834" t="s">
        <v>1018</v>
      </c>
      <c r="J834" t="s">
        <v>1027</v>
      </c>
      <c r="K834">
        <v>0</v>
      </c>
      <c r="L834" t="s">
        <v>1028</v>
      </c>
      <c r="M834">
        <v>79</v>
      </c>
      <c r="N834" t="s">
        <v>1030</v>
      </c>
    </row>
    <row r="835" spans="1:14" x14ac:dyDescent="0.3">
      <c r="A835" t="s">
        <v>847</v>
      </c>
      <c r="B835" t="s">
        <v>1034</v>
      </c>
      <c r="C835" t="s">
        <v>1035</v>
      </c>
      <c r="D835" s="1">
        <v>45866</v>
      </c>
      <c r="E835" s="1">
        <v>45872</v>
      </c>
      <c r="F835" t="s">
        <v>1016</v>
      </c>
      <c r="G835" t="s">
        <v>1017</v>
      </c>
      <c r="H835" t="s">
        <v>1018</v>
      </c>
      <c r="I835" t="s">
        <v>1018</v>
      </c>
      <c r="J835" t="s">
        <v>1019</v>
      </c>
      <c r="K835">
        <v>125887</v>
      </c>
      <c r="L835" t="s">
        <v>1020</v>
      </c>
      <c r="M835">
        <v>42</v>
      </c>
      <c r="N835" t="s">
        <v>1030</v>
      </c>
    </row>
    <row r="836" spans="1:14" x14ac:dyDescent="0.3">
      <c r="A836" t="s">
        <v>848</v>
      </c>
      <c r="B836" t="s">
        <v>1014</v>
      </c>
      <c r="C836" t="s">
        <v>1015</v>
      </c>
      <c r="D836" s="1">
        <v>45663</v>
      </c>
      <c r="E836" s="1">
        <v>45690</v>
      </c>
      <c r="F836" t="s">
        <v>1016</v>
      </c>
      <c r="G836" t="s">
        <v>1017</v>
      </c>
      <c r="H836" t="s">
        <v>1018</v>
      </c>
      <c r="I836" t="s">
        <v>1018</v>
      </c>
      <c r="J836" t="s">
        <v>1019</v>
      </c>
      <c r="K836">
        <v>98340</v>
      </c>
      <c r="L836" t="s">
        <v>1020</v>
      </c>
      <c r="M836">
        <v>47</v>
      </c>
      <c r="N836" t="s">
        <v>1036</v>
      </c>
    </row>
    <row r="837" spans="1:14" x14ac:dyDescent="0.3">
      <c r="A837" t="s">
        <v>849</v>
      </c>
      <c r="B837" t="s">
        <v>1037</v>
      </c>
      <c r="C837" t="s">
        <v>1033</v>
      </c>
      <c r="D837" s="1">
        <v>45908</v>
      </c>
      <c r="E837" s="1">
        <v>45937</v>
      </c>
      <c r="F837" t="s">
        <v>1016</v>
      </c>
      <c r="G837" t="s">
        <v>1027</v>
      </c>
      <c r="H837" t="s">
        <v>1018</v>
      </c>
      <c r="I837" t="s">
        <v>1018</v>
      </c>
      <c r="J837" t="s">
        <v>1027</v>
      </c>
      <c r="K837">
        <v>0</v>
      </c>
      <c r="L837" t="s">
        <v>1028</v>
      </c>
      <c r="M837">
        <v>61</v>
      </c>
      <c r="N837" t="s">
        <v>1025</v>
      </c>
    </row>
    <row r="838" spans="1:14" x14ac:dyDescent="0.3">
      <c r="A838" t="s">
        <v>850</v>
      </c>
      <c r="B838" t="s">
        <v>1014</v>
      </c>
      <c r="C838" t="s">
        <v>1035</v>
      </c>
      <c r="D838" s="1">
        <v>45737</v>
      </c>
      <c r="E838" s="1">
        <v>45780</v>
      </c>
      <c r="F838" t="s">
        <v>1018</v>
      </c>
      <c r="G838" t="s">
        <v>1017</v>
      </c>
      <c r="H838" t="s">
        <v>1018</v>
      </c>
      <c r="I838" t="s">
        <v>1018</v>
      </c>
      <c r="J838" t="s">
        <v>1019</v>
      </c>
      <c r="K838">
        <v>172787</v>
      </c>
      <c r="L838" t="s">
        <v>1020</v>
      </c>
      <c r="M838">
        <v>64</v>
      </c>
      <c r="N838" t="s">
        <v>1025</v>
      </c>
    </row>
    <row r="839" spans="1:14" x14ac:dyDescent="0.3">
      <c r="A839" t="s">
        <v>851</v>
      </c>
      <c r="B839" t="s">
        <v>1037</v>
      </c>
      <c r="C839" t="s">
        <v>1015</v>
      </c>
      <c r="D839" s="1">
        <v>46011</v>
      </c>
      <c r="E839" s="1">
        <v>46023</v>
      </c>
      <c r="F839" t="s">
        <v>1016</v>
      </c>
      <c r="G839" t="s">
        <v>1017</v>
      </c>
      <c r="H839" t="s">
        <v>1018</v>
      </c>
      <c r="I839" t="s">
        <v>1018</v>
      </c>
      <c r="J839" t="s">
        <v>1019</v>
      </c>
      <c r="K839">
        <v>35741</v>
      </c>
      <c r="L839" t="s">
        <v>1020</v>
      </c>
      <c r="M839">
        <v>30</v>
      </c>
      <c r="N839" t="s">
        <v>1036</v>
      </c>
    </row>
    <row r="840" spans="1:14" x14ac:dyDescent="0.3">
      <c r="A840" t="s">
        <v>852</v>
      </c>
      <c r="B840" t="s">
        <v>1029</v>
      </c>
      <c r="C840" t="s">
        <v>1022</v>
      </c>
      <c r="D840" s="1">
        <v>45784</v>
      </c>
      <c r="E840" s="1">
        <v>45785</v>
      </c>
      <c r="F840" t="s">
        <v>1016</v>
      </c>
      <c r="G840" t="s">
        <v>1017</v>
      </c>
      <c r="H840" t="s">
        <v>1018</v>
      </c>
      <c r="I840" t="s">
        <v>1018</v>
      </c>
      <c r="J840" t="s">
        <v>1019</v>
      </c>
      <c r="K840">
        <v>117773</v>
      </c>
      <c r="L840" t="s">
        <v>1020</v>
      </c>
      <c r="M840">
        <v>40</v>
      </c>
      <c r="N840" t="s">
        <v>1021</v>
      </c>
    </row>
    <row r="841" spans="1:14" x14ac:dyDescent="0.3">
      <c r="A841" t="s">
        <v>853</v>
      </c>
      <c r="B841" t="s">
        <v>1026</v>
      </c>
      <c r="C841" t="s">
        <v>1033</v>
      </c>
      <c r="D841" s="1">
        <v>45813</v>
      </c>
      <c r="E841" s="1">
        <v>45817</v>
      </c>
      <c r="F841" t="s">
        <v>1016</v>
      </c>
      <c r="G841" t="s">
        <v>1023</v>
      </c>
      <c r="H841" t="s">
        <v>1016</v>
      </c>
      <c r="I841" t="s">
        <v>1016</v>
      </c>
      <c r="J841" t="s">
        <v>1019</v>
      </c>
      <c r="K841">
        <v>89865</v>
      </c>
      <c r="L841" t="s">
        <v>1020</v>
      </c>
      <c r="M841">
        <v>20</v>
      </c>
      <c r="N841" t="s">
        <v>1025</v>
      </c>
    </row>
    <row r="842" spans="1:14" x14ac:dyDescent="0.3">
      <c r="A842" t="s">
        <v>854</v>
      </c>
      <c r="B842" t="s">
        <v>1034</v>
      </c>
      <c r="C842" t="s">
        <v>1022</v>
      </c>
      <c r="D842" s="1">
        <v>45884</v>
      </c>
      <c r="E842" s="1">
        <v>45928</v>
      </c>
      <c r="F842" t="s">
        <v>1018</v>
      </c>
      <c r="G842" t="s">
        <v>1017</v>
      </c>
      <c r="H842" t="s">
        <v>1018</v>
      </c>
      <c r="I842" t="s">
        <v>1018</v>
      </c>
      <c r="J842" t="s">
        <v>1019</v>
      </c>
      <c r="K842">
        <v>70590</v>
      </c>
      <c r="L842" t="s">
        <v>1020</v>
      </c>
      <c r="M842">
        <v>56</v>
      </c>
      <c r="N842" t="s">
        <v>1021</v>
      </c>
    </row>
    <row r="843" spans="1:14" x14ac:dyDescent="0.3">
      <c r="A843" t="s">
        <v>855</v>
      </c>
      <c r="B843" t="s">
        <v>1029</v>
      </c>
      <c r="C843" t="s">
        <v>1031</v>
      </c>
      <c r="D843" s="1">
        <v>45957</v>
      </c>
      <c r="E843" s="1">
        <v>45990</v>
      </c>
      <c r="F843" t="s">
        <v>1018</v>
      </c>
      <c r="G843" t="s">
        <v>1023</v>
      </c>
      <c r="H843" t="s">
        <v>1016</v>
      </c>
      <c r="I843" t="s">
        <v>1016</v>
      </c>
      <c r="J843" t="s">
        <v>1019</v>
      </c>
      <c r="K843">
        <v>195972</v>
      </c>
      <c r="L843" t="s">
        <v>1020</v>
      </c>
      <c r="M843">
        <v>45</v>
      </c>
      <c r="N843" t="s">
        <v>1036</v>
      </c>
    </row>
    <row r="844" spans="1:14" x14ac:dyDescent="0.3">
      <c r="A844" t="s">
        <v>856</v>
      </c>
      <c r="B844" t="s">
        <v>1032</v>
      </c>
      <c r="C844" t="s">
        <v>1022</v>
      </c>
      <c r="D844" s="1">
        <v>45982</v>
      </c>
      <c r="E844" s="1">
        <v>46021</v>
      </c>
      <c r="F844" t="s">
        <v>1018</v>
      </c>
      <c r="G844" t="s">
        <v>1017</v>
      </c>
      <c r="H844" t="s">
        <v>1018</v>
      </c>
      <c r="I844" t="s">
        <v>1018</v>
      </c>
      <c r="J844" t="s">
        <v>1019</v>
      </c>
      <c r="K844">
        <v>120025</v>
      </c>
      <c r="L844" t="s">
        <v>1020</v>
      </c>
      <c r="M844">
        <v>58</v>
      </c>
      <c r="N844" t="s">
        <v>1021</v>
      </c>
    </row>
    <row r="845" spans="1:14" x14ac:dyDescent="0.3">
      <c r="A845" t="s">
        <v>857</v>
      </c>
      <c r="B845" t="s">
        <v>1034</v>
      </c>
      <c r="C845" t="s">
        <v>1035</v>
      </c>
      <c r="D845" s="1">
        <v>45813</v>
      </c>
      <c r="E845" s="1">
        <v>45825</v>
      </c>
      <c r="F845" t="s">
        <v>1016</v>
      </c>
      <c r="G845" t="s">
        <v>1017</v>
      </c>
      <c r="H845" t="s">
        <v>1018</v>
      </c>
      <c r="I845" t="s">
        <v>1018</v>
      </c>
      <c r="J845" t="s">
        <v>1019</v>
      </c>
      <c r="K845">
        <v>92151</v>
      </c>
      <c r="L845" t="s">
        <v>1020</v>
      </c>
      <c r="M845">
        <v>51</v>
      </c>
      <c r="N845" t="s">
        <v>1025</v>
      </c>
    </row>
    <row r="846" spans="1:14" x14ac:dyDescent="0.3">
      <c r="A846" t="s">
        <v>858</v>
      </c>
      <c r="B846" t="s">
        <v>1014</v>
      </c>
      <c r="C846" t="s">
        <v>1015</v>
      </c>
      <c r="D846" s="1">
        <v>46001</v>
      </c>
      <c r="E846" s="1">
        <v>46025</v>
      </c>
      <c r="F846" t="s">
        <v>1016</v>
      </c>
      <c r="G846" t="s">
        <v>1023</v>
      </c>
      <c r="H846" t="s">
        <v>1016</v>
      </c>
      <c r="I846" t="s">
        <v>1016</v>
      </c>
      <c r="J846" t="s">
        <v>1019</v>
      </c>
      <c r="K846">
        <v>70852</v>
      </c>
      <c r="L846" t="s">
        <v>1020</v>
      </c>
      <c r="M846">
        <v>62</v>
      </c>
      <c r="N846" t="s">
        <v>1036</v>
      </c>
    </row>
    <row r="847" spans="1:14" x14ac:dyDescent="0.3">
      <c r="A847" t="s">
        <v>859</v>
      </c>
      <c r="B847" t="s">
        <v>1032</v>
      </c>
      <c r="C847" t="s">
        <v>1022</v>
      </c>
      <c r="D847" s="1">
        <v>45767</v>
      </c>
      <c r="E847" s="1">
        <v>45787</v>
      </c>
      <c r="F847" t="s">
        <v>1016</v>
      </c>
      <c r="G847" t="s">
        <v>1017</v>
      </c>
      <c r="H847" t="s">
        <v>1018</v>
      </c>
      <c r="I847" t="s">
        <v>1018</v>
      </c>
      <c r="J847" t="s">
        <v>1019</v>
      </c>
      <c r="K847">
        <v>47639</v>
      </c>
      <c r="L847" t="s">
        <v>1020</v>
      </c>
      <c r="M847">
        <v>42</v>
      </c>
      <c r="N847" t="s">
        <v>1036</v>
      </c>
    </row>
    <row r="848" spans="1:14" x14ac:dyDescent="0.3">
      <c r="A848" t="s">
        <v>860</v>
      </c>
      <c r="B848" t="s">
        <v>1029</v>
      </c>
      <c r="C848" t="s">
        <v>1031</v>
      </c>
      <c r="D848" s="1">
        <v>45784</v>
      </c>
      <c r="E848" s="1">
        <v>45808</v>
      </c>
      <c r="F848" t="s">
        <v>1016</v>
      </c>
      <c r="G848" t="s">
        <v>1023</v>
      </c>
      <c r="H848" t="s">
        <v>1016</v>
      </c>
      <c r="I848" t="s">
        <v>1016</v>
      </c>
      <c r="J848" t="s">
        <v>1019</v>
      </c>
      <c r="K848">
        <v>131607</v>
      </c>
      <c r="L848" t="s">
        <v>1020</v>
      </c>
      <c r="M848">
        <v>57</v>
      </c>
      <c r="N848" t="s">
        <v>1021</v>
      </c>
    </row>
    <row r="849" spans="1:14" x14ac:dyDescent="0.3">
      <c r="A849" t="s">
        <v>861</v>
      </c>
      <c r="B849" t="s">
        <v>1034</v>
      </c>
      <c r="C849" t="s">
        <v>1033</v>
      </c>
      <c r="D849" s="1">
        <v>45805</v>
      </c>
      <c r="E849" s="1">
        <v>45841</v>
      </c>
      <c r="F849" t="s">
        <v>1018</v>
      </c>
      <c r="G849" t="s">
        <v>1017</v>
      </c>
      <c r="H849" t="s">
        <v>1018</v>
      </c>
      <c r="I849" t="s">
        <v>1018</v>
      </c>
      <c r="J849" t="s">
        <v>1019</v>
      </c>
      <c r="K849">
        <v>127238</v>
      </c>
      <c r="L849" t="s">
        <v>1024</v>
      </c>
      <c r="M849">
        <v>46</v>
      </c>
      <c r="N849" t="s">
        <v>1036</v>
      </c>
    </row>
    <row r="850" spans="1:14" x14ac:dyDescent="0.3">
      <c r="A850" t="s">
        <v>862</v>
      </c>
      <c r="B850" t="s">
        <v>1014</v>
      </c>
      <c r="C850" t="s">
        <v>1022</v>
      </c>
      <c r="D850" s="1">
        <v>46019</v>
      </c>
      <c r="E850" s="1">
        <v>46034</v>
      </c>
      <c r="F850" t="s">
        <v>1016</v>
      </c>
      <c r="G850" t="s">
        <v>1023</v>
      </c>
      <c r="H850" t="s">
        <v>1016</v>
      </c>
      <c r="I850" t="s">
        <v>1016</v>
      </c>
      <c r="J850" t="s">
        <v>1019</v>
      </c>
      <c r="K850">
        <v>53618</v>
      </c>
      <c r="L850" t="s">
        <v>1020</v>
      </c>
      <c r="M850">
        <v>50</v>
      </c>
      <c r="N850" t="s">
        <v>1021</v>
      </c>
    </row>
    <row r="851" spans="1:14" x14ac:dyDescent="0.3">
      <c r="A851" t="s">
        <v>863</v>
      </c>
      <c r="B851" t="s">
        <v>1034</v>
      </c>
      <c r="C851" t="s">
        <v>1015</v>
      </c>
      <c r="D851" s="1">
        <v>45678</v>
      </c>
      <c r="E851" s="1">
        <v>45680</v>
      </c>
      <c r="F851" t="s">
        <v>1016</v>
      </c>
      <c r="G851" t="s">
        <v>1027</v>
      </c>
      <c r="H851" t="s">
        <v>1018</v>
      </c>
      <c r="I851" t="s">
        <v>1018</v>
      </c>
      <c r="J851" t="s">
        <v>1027</v>
      </c>
      <c r="K851">
        <v>0</v>
      </c>
      <c r="L851" t="s">
        <v>1028</v>
      </c>
      <c r="M851">
        <v>42</v>
      </c>
      <c r="N851" t="s">
        <v>1030</v>
      </c>
    </row>
    <row r="852" spans="1:14" x14ac:dyDescent="0.3">
      <c r="A852" t="s">
        <v>864</v>
      </c>
      <c r="B852" t="s">
        <v>1029</v>
      </c>
      <c r="C852" t="s">
        <v>1022</v>
      </c>
      <c r="D852" s="1">
        <v>45828</v>
      </c>
      <c r="E852" s="1">
        <v>45845</v>
      </c>
      <c r="F852" t="s">
        <v>1016</v>
      </c>
      <c r="G852" t="s">
        <v>1023</v>
      </c>
      <c r="H852" t="s">
        <v>1016</v>
      </c>
      <c r="I852" t="s">
        <v>1018</v>
      </c>
      <c r="J852" t="s">
        <v>1027</v>
      </c>
      <c r="K852">
        <v>0</v>
      </c>
      <c r="L852" t="s">
        <v>1028</v>
      </c>
      <c r="M852">
        <v>42</v>
      </c>
      <c r="N852" t="s">
        <v>1030</v>
      </c>
    </row>
    <row r="853" spans="1:14" x14ac:dyDescent="0.3">
      <c r="A853" t="s">
        <v>865</v>
      </c>
      <c r="B853" t="s">
        <v>1014</v>
      </c>
      <c r="C853" t="s">
        <v>1033</v>
      </c>
      <c r="D853" s="1">
        <v>45992</v>
      </c>
      <c r="E853" s="1">
        <v>46029</v>
      </c>
      <c r="F853" t="s">
        <v>1018</v>
      </c>
      <c r="G853" t="s">
        <v>1023</v>
      </c>
      <c r="H853" t="s">
        <v>1016</v>
      </c>
      <c r="I853" t="s">
        <v>1016</v>
      </c>
      <c r="J853" t="s">
        <v>1019</v>
      </c>
      <c r="K853">
        <v>196492</v>
      </c>
      <c r="L853" t="s">
        <v>1024</v>
      </c>
      <c r="M853">
        <v>74</v>
      </c>
      <c r="N853" t="s">
        <v>1025</v>
      </c>
    </row>
    <row r="854" spans="1:14" x14ac:dyDescent="0.3">
      <c r="A854" t="s">
        <v>866</v>
      </c>
      <c r="B854" t="s">
        <v>1014</v>
      </c>
      <c r="C854" t="s">
        <v>1033</v>
      </c>
      <c r="D854" s="1">
        <v>45786</v>
      </c>
      <c r="E854" s="1">
        <v>45800</v>
      </c>
      <c r="F854" t="s">
        <v>1016</v>
      </c>
      <c r="G854" t="s">
        <v>1027</v>
      </c>
      <c r="H854" t="s">
        <v>1018</v>
      </c>
      <c r="I854" t="s">
        <v>1018</v>
      </c>
      <c r="J854" t="s">
        <v>1027</v>
      </c>
      <c r="K854">
        <v>0</v>
      </c>
      <c r="L854" t="s">
        <v>1028</v>
      </c>
      <c r="M854">
        <v>22</v>
      </c>
      <c r="N854" t="s">
        <v>1021</v>
      </c>
    </row>
    <row r="855" spans="1:14" x14ac:dyDescent="0.3">
      <c r="A855" t="s">
        <v>867</v>
      </c>
      <c r="B855" t="s">
        <v>1014</v>
      </c>
      <c r="C855" t="s">
        <v>1022</v>
      </c>
      <c r="D855" s="1">
        <v>45811</v>
      </c>
      <c r="E855" s="1">
        <v>45823</v>
      </c>
      <c r="F855" t="s">
        <v>1016</v>
      </c>
      <c r="G855" t="s">
        <v>1027</v>
      </c>
      <c r="H855" t="s">
        <v>1018</v>
      </c>
      <c r="I855" t="s">
        <v>1018</v>
      </c>
      <c r="J855" t="s">
        <v>1027</v>
      </c>
      <c r="K855">
        <v>0</v>
      </c>
      <c r="L855" t="s">
        <v>1028</v>
      </c>
      <c r="M855">
        <v>49</v>
      </c>
      <c r="N855" t="s">
        <v>1036</v>
      </c>
    </row>
    <row r="856" spans="1:14" x14ac:dyDescent="0.3">
      <c r="A856" t="s">
        <v>868</v>
      </c>
      <c r="B856" t="s">
        <v>1026</v>
      </c>
      <c r="C856" t="s">
        <v>1033</v>
      </c>
      <c r="D856" s="1">
        <v>45842</v>
      </c>
      <c r="E856" s="1">
        <v>45869</v>
      </c>
      <c r="F856" t="s">
        <v>1016</v>
      </c>
      <c r="G856" t="s">
        <v>1017</v>
      </c>
      <c r="H856" t="s">
        <v>1018</v>
      </c>
      <c r="I856" t="s">
        <v>1018</v>
      </c>
      <c r="J856" t="s">
        <v>1019</v>
      </c>
      <c r="K856">
        <v>50324</v>
      </c>
      <c r="L856" t="s">
        <v>1020</v>
      </c>
      <c r="M856">
        <v>34</v>
      </c>
      <c r="N856" t="s">
        <v>1025</v>
      </c>
    </row>
    <row r="857" spans="1:14" x14ac:dyDescent="0.3">
      <c r="A857" t="s">
        <v>869</v>
      </c>
      <c r="B857" t="s">
        <v>1037</v>
      </c>
      <c r="C857" t="s">
        <v>1015</v>
      </c>
      <c r="D857" s="1">
        <v>45821</v>
      </c>
      <c r="E857" s="1">
        <v>45843</v>
      </c>
      <c r="F857" t="s">
        <v>1016</v>
      </c>
      <c r="G857" t="s">
        <v>1023</v>
      </c>
      <c r="H857" t="s">
        <v>1016</v>
      </c>
      <c r="I857" t="s">
        <v>1016</v>
      </c>
      <c r="J857" t="s">
        <v>1019</v>
      </c>
      <c r="K857">
        <v>16733</v>
      </c>
      <c r="L857" t="s">
        <v>1020</v>
      </c>
      <c r="M857">
        <v>45</v>
      </c>
      <c r="N857" t="s">
        <v>1030</v>
      </c>
    </row>
    <row r="858" spans="1:14" x14ac:dyDescent="0.3">
      <c r="A858" t="s">
        <v>870</v>
      </c>
      <c r="B858" t="s">
        <v>1034</v>
      </c>
      <c r="C858" t="s">
        <v>1031</v>
      </c>
      <c r="D858" s="1">
        <v>45910</v>
      </c>
      <c r="E858" s="1">
        <v>45948</v>
      </c>
      <c r="F858" t="s">
        <v>1018</v>
      </c>
      <c r="G858" t="s">
        <v>1017</v>
      </c>
      <c r="H858" t="s">
        <v>1018</v>
      </c>
      <c r="I858" t="s">
        <v>1018</v>
      </c>
      <c r="J858" t="s">
        <v>1019</v>
      </c>
      <c r="K858">
        <v>120465</v>
      </c>
      <c r="L858" t="s">
        <v>1024</v>
      </c>
      <c r="M858">
        <v>57</v>
      </c>
      <c r="N858" t="s">
        <v>1021</v>
      </c>
    </row>
    <row r="859" spans="1:14" x14ac:dyDescent="0.3">
      <c r="A859" t="s">
        <v>871</v>
      </c>
      <c r="B859" t="s">
        <v>1014</v>
      </c>
      <c r="C859" t="s">
        <v>1033</v>
      </c>
      <c r="D859" s="1">
        <v>45771</v>
      </c>
      <c r="E859" s="1">
        <v>45798</v>
      </c>
      <c r="F859" t="s">
        <v>1016</v>
      </c>
      <c r="G859" t="s">
        <v>1017</v>
      </c>
      <c r="H859" t="s">
        <v>1018</v>
      </c>
      <c r="I859" t="s">
        <v>1018</v>
      </c>
      <c r="J859" t="s">
        <v>1019</v>
      </c>
      <c r="K859">
        <v>126923</v>
      </c>
      <c r="L859" t="s">
        <v>1020</v>
      </c>
      <c r="M859">
        <v>64</v>
      </c>
      <c r="N859" t="s">
        <v>1030</v>
      </c>
    </row>
    <row r="860" spans="1:14" x14ac:dyDescent="0.3">
      <c r="A860" t="s">
        <v>872</v>
      </c>
      <c r="B860" t="s">
        <v>1014</v>
      </c>
      <c r="C860" t="s">
        <v>1031</v>
      </c>
      <c r="D860" s="1">
        <v>45881</v>
      </c>
      <c r="E860" s="1">
        <v>45888</v>
      </c>
      <c r="F860" t="s">
        <v>1016</v>
      </c>
      <c r="G860" t="s">
        <v>1023</v>
      </c>
      <c r="H860" t="s">
        <v>1016</v>
      </c>
      <c r="I860" t="s">
        <v>1016</v>
      </c>
      <c r="J860" t="s">
        <v>1019</v>
      </c>
      <c r="K860">
        <v>105985</v>
      </c>
      <c r="L860" t="s">
        <v>1020</v>
      </c>
      <c r="M860">
        <v>21</v>
      </c>
      <c r="N860" t="s">
        <v>1025</v>
      </c>
    </row>
    <row r="861" spans="1:14" x14ac:dyDescent="0.3">
      <c r="A861" t="s">
        <v>873</v>
      </c>
      <c r="B861" t="s">
        <v>1032</v>
      </c>
      <c r="C861" t="s">
        <v>1033</v>
      </c>
      <c r="D861" s="1">
        <v>45818</v>
      </c>
      <c r="E861" s="1">
        <v>45840</v>
      </c>
      <c r="F861" t="s">
        <v>1016</v>
      </c>
      <c r="G861" t="s">
        <v>1027</v>
      </c>
      <c r="H861" t="s">
        <v>1018</v>
      </c>
      <c r="I861" t="s">
        <v>1018</v>
      </c>
      <c r="J861" t="s">
        <v>1027</v>
      </c>
      <c r="K861">
        <v>0</v>
      </c>
      <c r="L861" t="s">
        <v>1028</v>
      </c>
      <c r="M861">
        <v>58</v>
      </c>
      <c r="N861" t="s">
        <v>1021</v>
      </c>
    </row>
    <row r="862" spans="1:14" x14ac:dyDescent="0.3">
      <c r="A862" t="s">
        <v>874</v>
      </c>
      <c r="B862" t="s">
        <v>1014</v>
      </c>
      <c r="C862" t="s">
        <v>1022</v>
      </c>
      <c r="D862" s="1">
        <v>45809</v>
      </c>
      <c r="E862" s="1">
        <v>45827</v>
      </c>
      <c r="F862" t="s">
        <v>1016</v>
      </c>
      <c r="G862" t="s">
        <v>1027</v>
      </c>
      <c r="H862" t="s">
        <v>1018</v>
      </c>
      <c r="I862" t="s">
        <v>1018</v>
      </c>
      <c r="J862" t="s">
        <v>1027</v>
      </c>
      <c r="K862">
        <v>0</v>
      </c>
      <c r="L862" t="s">
        <v>1028</v>
      </c>
      <c r="M862">
        <v>44</v>
      </c>
      <c r="N862" t="s">
        <v>1021</v>
      </c>
    </row>
    <row r="863" spans="1:14" x14ac:dyDescent="0.3">
      <c r="A863" t="s">
        <v>875</v>
      </c>
      <c r="B863" t="s">
        <v>1014</v>
      </c>
      <c r="C863" t="s">
        <v>1031</v>
      </c>
      <c r="D863" s="1">
        <v>45739</v>
      </c>
      <c r="E863" s="1">
        <v>45765</v>
      </c>
      <c r="F863" t="s">
        <v>1016</v>
      </c>
      <c r="G863" t="s">
        <v>1027</v>
      </c>
      <c r="H863" t="s">
        <v>1018</v>
      </c>
      <c r="I863" t="s">
        <v>1018</v>
      </c>
      <c r="J863" t="s">
        <v>1027</v>
      </c>
      <c r="K863">
        <v>0</v>
      </c>
      <c r="L863" t="s">
        <v>1028</v>
      </c>
      <c r="M863">
        <v>38</v>
      </c>
      <c r="N863" t="s">
        <v>1036</v>
      </c>
    </row>
    <row r="864" spans="1:14" x14ac:dyDescent="0.3">
      <c r="A864" t="s">
        <v>876</v>
      </c>
      <c r="B864" t="s">
        <v>1034</v>
      </c>
      <c r="C864" t="s">
        <v>1022</v>
      </c>
      <c r="D864" s="1">
        <v>45672</v>
      </c>
      <c r="E864" s="1">
        <v>45694</v>
      </c>
      <c r="F864" t="s">
        <v>1016</v>
      </c>
      <c r="G864" t="s">
        <v>1027</v>
      </c>
      <c r="H864" t="s">
        <v>1018</v>
      </c>
      <c r="I864" t="s">
        <v>1018</v>
      </c>
      <c r="J864" t="s">
        <v>1027</v>
      </c>
      <c r="K864">
        <v>0</v>
      </c>
      <c r="L864" t="s">
        <v>1028</v>
      </c>
      <c r="M864">
        <v>55</v>
      </c>
      <c r="N864" t="s">
        <v>1030</v>
      </c>
    </row>
    <row r="865" spans="1:14" x14ac:dyDescent="0.3">
      <c r="A865" t="s">
        <v>877</v>
      </c>
      <c r="B865" t="s">
        <v>1037</v>
      </c>
      <c r="C865" t="s">
        <v>1022</v>
      </c>
      <c r="D865" s="1">
        <v>45682</v>
      </c>
      <c r="E865" s="1">
        <v>45693</v>
      </c>
      <c r="F865" t="s">
        <v>1016</v>
      </c>
      <c r="G865" t="s">
        <v>1017</v>
      </c>
      <c r="H865" t="s">
        <v>1018</v>
      </c>
      <c r="I865" t="s">
        <v>1018</v>
      </c>
      <c r="J865" t="s">
        <v>1019</v>
      </c>
      <c r="K865">
        <v>64413</v>
      </c>
      <c r="L865" t="s">
        <v>1020</v>
      </c>
      <c r="M865">
        <v>24</v>
      </c>
      <c r="N865" t="s">
        <v>1036</v>
      </c>
    </row>
    <row r="866" spans="1:14" x14ac:dyDescent="0.3">
      <c r="A866" t="s">
        <v>878</v>
      </c>
      <c r="B866" t="s">
        <v>1037</v>
      </c>
      <c r="C866" t="s">
        <v>1035</v>
      </c>
      <c r="D866" s="1">
        <v>45975</v>
      </c>
      <c r="E866" s="1">
        <v>45996</v>
      </c>
      <c r="F866" t="s">
        <v>1016</v>
      </c>
      <c r="G866" t="s">
        <v>1017</v>
      </c>
      <c r="H866" t="s">
        <v>1018</v>
      </c>
      <c r="I866" t="s">
        <v>1018</v>
      </c>
      <c r="J866" t="s">
        <v>1019</v>
      </c>
      <c r="K866">
        <v>102188</v>
      </c>
      <c r="L866" t="s">
        <v>1020</v>
      </c>
      <c r="M866">
        <v>48</v>
      </c>
      <c r="N866" t="s">
        <v>1025</v>
      </c>
    </row>
    <row r="867" spans="1:14" x14ac:dyDescent="0.3">
      <c r="A867" t="s">
        <v>879</v>
      </c>
      <c r="B867" t="s">
        <v>1014</v>
      </c>
      <c r="C867" t="s">
        <v>1015</v>
      </c>
      <c r="D867" s="1">
        <v>45938</v>
      </c>
      <c r="E867" s="1">
        <v>45978</v>
      </c>
      <c r="F867" t="s">
        <v>1018</v>
      </c>
      <c r="G867" t="s">
        <v>1027</v>
      </c>
      <c r="H867" t="s">
        <v>1018</v>
      </c>
      <c r="I867" t="s">
        <v>1018</v>
      </c>
      <c r="J867" t="s">
        <v>1027</v>
      </c>
      <c r="K867">
        <v>0</v>
      </c>
      <c r="L867" t="s">
        <v>1028</v>
      </c>
      <c r="M867">
        <v>57</v>
      </c>
      <c r="N867" t="s">
        <v>1030</v>
      </c>
    </row>
    <row r="868" spans="1:14" x14ac:dyDescent="0.3">
      <c r="A868" t="s">
        <v>880</v>
      </c>
      <c r="B868" t="s">
        <v>1037</v>
      </c>
      <c r="C868" t="s">
        <v>1022</v>
      </c>
      <c r="D868" s="1">
        <v>45853</v>
      </c>
      <c r="E868" s="1">
        <v>45863</v>
      </c>
      <c r="F868" t="s">
        <v>1016</v>
      </c>
      <c r="G868" t="s">
        <v>1017</v>
      </c>
      <c r="H868" t="s">
        <v>1018</v>
      </c>
      <c r="I868" t="s">
        <v>1018</v>
      </c>
      <c r="J868" t="s">
        <v>1019</v>
      </c>
      <c r="K868">
        <v>153733</v>
      </c>
      <c r="L868" t="s">
        <v>1024</v>
      </c>
      <c r="M868">
        <v>48</v>
      </c>
      <c r="N868" t="s">
        <v>1036</v>
      </c>
    </row>
    <row r="869" spans="1:14" x14ac:dyDescent="0.3">
      <c r="A869" t="s">
        <v>881</v>
      </c>
      <c r="B869" t="s">
        <v>1014</v>
      </c>
      <c r="C869" t="s">
        <v>1035</v>
      </c>
      <c r="D869" s="1">
        <v>45737</v>
      </c>
      <c r="E869" s="1">
        <v>45772</v>
      </c>
      <c r="F869" t="s">
        <v>1018</v>
      </c>
      <c r="G869" t="s">
        <v>1027</v>
      </c>
      <c r="H869" t="s">
        <v>1018</v>
      </c>
      <c r="I869" t="s">
        <v>1018</v>
      </c>
      <c r="J869" t="s">
        <v>1027</v>
      </c>
      <c r="K869">
        <v>0</v>
      </c>
      <c r="L869" t="s">
        <v>1028</v>
      </c>
      <c r="M869">
        <v>49</v>
      </c>
      <c r="N869" t="s">
        <v>1025</v>
      </c>
    </row>
    <row r="870" spans="1:14" x14ac:dyDescent="0.3">
      <c r="A870" t="s">
        <v>882</v>
      </c>
      <c r="B870" t="s">
        <v>1026</v>
      </c>
      <c r="C870" t="s">
        <v>1031</v>
      </c>
      <c r="D870" s="1">
        <v>45970</v>
      </c>
      <c r="E870" s="1">
        <v>45989</v>
      </c>
      <c r="F870" t="s">
        <v>1016</v>
      </c>
      <c r="G870" t="s">
        <v>1027</v>
      </c>
      <c r="H870" t="s">
        <v>1018</v>
      </c>
      <c r="I870" t="s">
        <v>1018</v>
      </c>
      <c r="J870" t="s">
        <v>1027</v>
      </c>
      <c r="K870">
        <v>0</v>
      </c>
      <c r="L870" t="s">
        <v>1028</v>
      </c>
      <c r="M870">
        <v>29</v>
      </c>
      <c r="N870" t="s">
        <v>1030</v>
      </c>
    </row>
    <row r="871" spans="1:14" x14ac:dyDescent="0.3">
      <c r="A871" t="s">
        <v>883</v>
      </c>
      <c r="B871" t="s">
        <v>1014</v>
      </c>
      <c r="C871" t="s">
        <v>1015</v>
      </c>
      <c r="D871" s="1">
        <v>45875</v>
      </c>
      <c r="E871" s="1">
        <v>45920</v>
      </c>
      <c r="F871" t="s">
        <v>1018</v>
      </c>
      <c r="G871" t="s">
        <v>1023</v>
      </c>
      <c r="H871" t="s">
        <v>1016</v>
      </c>
      <c r="I871" t="s">
        <v>1016</v>
      </c>
      <c r="J871" t="s">
        <v>1019</v>
      </c>
      <c r="K871">
        <v>182538</v>
      </c>
      <c r="L871" t="s">
        <v>1020</v>
      </c>
      <c r="M871">
        <v>60</v>
      </c>
      <c r="N871" t="s">
        <v>1030</v>
      </c>
    </row>
    <row r="872" spans="1:14" x14ac:dyDescent="0.3">
      <c r="A872" t="s">
        <v>884</v>
      </c>
      <c r="B872" t="s">
        <v>1014</v>
      </c>
      <c r="C872" t="s">
        <v>1035</v>
      </c>
      <c r="D872" s="1">
        <v>46010</v>
      </c>
      <c r="E872" s="1">
        <v>46028</v>
      </c>
      <c r="F872" t="s">
        <v>1016</v>
      </c>
      <c r="G872" t="s">
        <v>1027</v>
      </c>
      <c r="H872" t="s">
        <v>1018</v>
      </c>
      <c r="I872" t="s">
        <v>1018</v>
      </c>
      <c r="J872" t="s">
        <v>1027</v>
      </c>
      <c r="K872">
        <v>0</v>
      </c>
      <c r="L872" t="s">
        <v>1028</v>
      </c>
      <c r="M872">
        <v>45</v>
      </c>
      <c r="N872" t="s">
        <v>1021</v>
      </c>
    </row>
    <row r="873" spans="1:14" x14ac:dyDescent="0.3">
      <c r="A873" t="s">
        <v>885</v>
      </c>
      <c r="B873" t="s">
        <v>1032</v>
      </c>
      <c r="C873" t="s">
        <v>1031</v>
      </c>
      <c r="D873" s="1">
        <v>45794</v>
      </c>
      <c r="E873" s="1">
        <v>45837</v>
      </c>
      <c r="F873" t="s">
        <v>1018</v>
      </c>
      <c r="G873" t="s">
        <v>1017</v>
      </c>
      <c r="H873" t="s">
        <v>1018</v>
      </c>
      <c r="I873" t="s">
        <v>1018</v>
      </c>
      <c r="J873" t="s">
        <v>1019</v>
      </c>
      <c r="K873">
        <v>80962</v>
      </c>
      <c r="L873" t="s">
        <v>1020</v>
      </c>
      <c r="M873">
        <v>72</v>
      </c>
      <c r="N873" t="s">
        <v>1030</v>
      </c>
    </row>
    <row r="874" spans="1:14" x14ac:dyDescent="0.3">
      <c r="A874" t="s">
        <v>886</v>
      </c>
      <c r="B874" t="s">
        <v>1026</v>
      </c>
      <c r="C874" t="s">
        <v>1022</v>
      </c>
      <c r="D874" s="1">
        <v>45682</v>
      </c>
      <c r="E874" s="1">
        <v>45706</v>
      </c>
      <c r="F874" t="s">
        <v>1016</v>
      </c>
      <c r="G874" t="s">
        <v>1017</v>
      </c>
      <c r="H874" t="s">
        <v>1018</v>
      </c>
      <c r="I874" t="s">
        <v>1018</v>
      </c>
      <c r="J874" t="s">
        <v>1019</v>
      </c>
      <c r="K874">
        <v>146904</v>
      </c>
      <c r="L874" t="s">
        <v>1020</v>
      </c>
      <c r="M874">
        <v>55</v>
      </c>
      <c r="N874" t="s">
        <v>1030</v>
      </c>
    </row>
    <row r="875" spans="1:14" x14ac:dyDescent="0.3">
      <c r="A875" t="s">
        <v>887</v>
      </c>
      <c r="B875" t="s">
        <v>1014</v>
      </c>
      <c r="C875" t="s">
        <v>1031</v>
      </c>
      <c r="D875" s="1">
        <v>45905</v>
      </c>
      <c r="E875" s="1">
        <v>45935</v>
      </c>
      <c r="F875" t="s">
        <v>1016</v>
      </c>
      <c r="G875" t="s">
        <v>1027</v>
      </c>
      <c r="H875" t="s">
        <v>1018</v>
      </c>
      <c r="I875" t="s">
        <v>1018</v>
      </c>
      <c r="J875" t="s">
        <v>1027</v>
      </c>
      <c r="K875">
        <v>0</v>
      </c>
      <c r="L875" t="s">
        <v>1028</v>
      </c>
      <c r="M875">
        <v>56</v>
      </c>
      <c r="N875" t="s">
        <v>1036</v>
      </c>
    </row>
    <row r="876" spans="1:14" x14ac:dyDescent="0.3">
      <c r="A876" t="s">
        <v>888</v>
      </c>
      <c r="B876" t="s">
        <v>1014</v>
      </c>
      <c r="C876" t="s">
        <v>1035</v>
      </c>
      <c r="D876" s="1">
        <v>45765</v>
      </c>
      <c r="E876" s="1">
        <v>45796</v>
      </c>
      <c r="F876" t="s">
        <v>1018</v>
      </c>
      <c r="G876" t="s">
        <v>1027</v>
      </c>
      <c r="H876" t="s">
        <v>1018</v>
      </c>
      <c r="I876" t="s">
        <v>1018</v>
      </c>
      <c r="J876" t="s">
        <v>1027</v>
      </c>
      <c r="K876">
        <v>0</v>
      </c>
      <c r="L876" t="s">
        <v>1028</v>
      </c>
      <c r="M876">
        <v>59</v>
      </c>
      <c r="N876" t="s">
        <v>1030</v>
      </c>
    </row>
    <row r="877" spans="1:14" x14ac:dyDescent="0.3">
      <c r="A877" t="s">
        <v>889</v>
      </c>
      <c r="B877" t="s">
        <v>1029</v>
      </c>
      <c r="C877" t="s">
        <v>1022</v>
      </c>
      <c r="D877" s="1">
        <v>45717</v>
      </c>
      <c r="E877" s="1">
        <v>45725</v>
      </c>
      <c r="F877" t="s">
        <v>1016</v>
      </c>
      <c r="G877" t="s">
        <v>1017</v>
      </c>
      <c r="H877" t="s">
        <v>1018</v>
      </c>
      <c r="I877" t="s">
        <v>1018</v>
      </c>
      <c r="J877" t="s">
        <v>1019</v>
      </c>
      <c r="K877">
        <v>97682</v>
      </c>
      <c r="L877" t="s">
        <v>1020</v>
      </c>
      <c r="M877">
        <v>47</v>
      </c>
      <c r="N877" t="s">
        <v>1025</v>
      </c>
    </row>
    <row r="878" spans="1:14" x14ac:dyDescent="0.3">
      <c r="A878" t="s">
        <v>890</v>
      </c>
      <c r="B878" t="s">
        <v>1037</v>
      </c>
      <c r="C878" t="s">
        <v>1035</v>
      </c>
      <c r="D878" s="1">
        <v>45840</v>
      </c>
      <c r="E878" s="1">
        <v>45875</v>
      </c>
      <c r="F878" t="s">
        <v>1018</v>
      </c>
      <c r="G878" t="s">
        <v>1027</v>
      </c>
      <c r="H878" t="s">
        <v>1018</v>
      </c>
      <c r="I878" t="s">
        <v>1018</v>
      </c>
      <c r="J878" t="s">
        <v>1027</v>
      </c>
      <c r="K878">
        <v>0</v>
      </c>
      <c r="L878" t="s">
        <v>1028</v>
      </c>
      <c r="M878">
        <v>72</v>
      </c>
      <c r="N878" t="s">
        <v>1036</v>
      </c>
    </row>
    <row r="879" spans="1:14" x14ac:dyDescent="0.3">
      <c r="A879" t="s">
        <v>891</v>
      </c>
      <c r="B879" t="s">
        <v>1026</v>
      </c>
      <c r="C879" t="s">
        <v>1031</v>
      </c>
      <c r="D879" s="1">
        <v>45883</v>
      </c>
      <c r="E879" s="1">
        <v>45908</v>
      </c>
      <c r="F879" t="s">
        <v>1016</v>
      </c>
      <c r="G879" t="s">
        <v>1017</v>
      </c>
      <c r="H879" t="s">
        <v>1018</v>
      </c>
      <c r="I879" t="s">
        <v>1018</v>
      </c>
      <c r="J879" t="s">
        <v>1019</v>
      </c>
      <c r="K879">
        <v>122528</v>
      </c>
      <c r="L879" t="s">
        <v>1020</v>
      </c>
      <c r="M879">
        <v>64</v>
      </c>
      <c r="N879" t="s">
        <v>1021</v>
      </c>
    </row>
    <row r="880" spans="1:14" x14ac:dyDescent="0.3">
      <c r="A880" t="s">
        <v>892</v>
      </c>
      <c r="B880" t="s">
        <v>1032</v>
      </c>
      <c r="C880" t="s">
        <v>1022</v>
      </c>
      <c r="D880" s="1">
        <v>45685</v>
      </c>
      <c r="E880" s="1">
        <v>45691</v>
      </c>
      <c r="F880" t="s">
        <v>1016</v>
      </c>
      <c r="G880" t="s">
        <v>1017</v>
      </c>
      <c r="H880" t="s">
        <v>1018</v>
      </c>
      <c r="I880" t="s">
        <v>1018</v>
      </c>
      <c r="J880" t="s">
        <v>1019</v>
      </c>
      <c r="K880">
        <v>12165</v>
      </c>
      <c r="L880" t="s">
        <v>1020</v>
      </c>
      <c r="M880">
        <v>25</v>
      </c>
      <c r="N880" t="s">
        <v>1030</v>
      </c>
    </row>
    <row r="881" spans="1:14" x14ac:dyDescent="0.3">
      <c r="A881" t="s">
        <v>893</v>
      </c>
      <c r="B881" t="s">
        <v>1014</v>
      </c>
      <c r="C881" t="s">
        <v>1031</v>
      </c>
      <c r="D881" s="1">
        <v>46010</v>
      </c>
      <c r="E881" s="1">
        <v>46043</v>
      </c>
      <c r="F881" t="s">
        <v>1018</v>
      </c>
      <c r="G881" t="s">
        <v>1017</v>
      </c>
      <c r="H881" t="s">
        <v>1018</v>
      </c>
      <c r="I881" t="s">
        <v>1018</v>
      </c>
      <c r="J881" t="s">
        <v>1019</v>
      </c>
      <c r="K881">
        <v>54873</v>
      </c>
      <c r="L881" t="s">
        <v>1020</v>
      </c>
      <c r="M881">
        <v>57</v>
      </c>
      <c r="N881" t="s">
        <v>1025</v>
      </c>
    </row>
    <row r="882" spans="1:14" x14ac:dyDescent="0.3">
      <c r="A882" t="s">
        <v>894</v>
      </c>
      <c r="B882" t="s">
        <v>1014</v>
      </c>
      <c r="C882" t="s">
        <v>1015</v>
      </c>
      <c r="D882" s="1">
        <v>45712</v>
      </c>
      <c r="E882" s="1">
        <v>45714</v>
      </c>
      <c r="F882" t="s">
        <v>1016</v>
      </c>
      <c r="G882" t="s">
        <v>1017</v>
      </c>
      <c r="H882" t="s">
        <v>1018</v>
      </c>
      <c r="I882" t="s">
        <v>1018</v>
      </c>
      <c r="J882" t="s">
        <v>1019</v>
      </c>
      <c r="K882">
        <v>164410</v>
      </c>
      <c r="L882" t="s">
        <v>1020</v>
      </c>
      <c r="M882">
        <v>39</v>
      </c>
      <c r="N882" t="s">
        <v>1036</v>
      </c>
    </row>
    <row r="883" spans="1:14" x14ac:dyDescent="0.3">
      <c r="A883" t="s">
        <v>895</v>
      </c>
      <c r="B883" t="s">
        <v>1037</v>
      </c>
      <c r="C883" t="s">
        <v>1035</v>
      </c>
      <c r="D883" s="1">
        <v>45709</v>
      </c>
      <c r="E883" s="1">
        <v>45737</v>
      </c>
      <c r="F883" t="s">
        <v>1016</v>
      </c>
      <c r="G883" t="s">
        <v>1027</v>
      </c>
      <c r="H883" t="s">
        <v>1018</v>
      </c>
      <c r="I883" t="s">
        <v>1018</v>
      </c>
      <c r="J883" t="s">
        <v>1027</v>
      </c>
      <c r="K883">
        <v>0</v>
      </c>
      <c r="L883" t="s">
        <v>1028</v>
      </c>
      <c r="M883">
        <v>66</v>
      </c>
      <c r="N883" t="s">
        <v>1036</v>
      </c>
    </row>
    <row r="884" spans="1:14" x14ac:dyDescent="0.3">
      <c r="A884" t="s">
        <v>896</v>
      </c>
      <c r="B884" t="s">
        <v>1037</v>
      </c>
      <c r="C884" t="s">
        <v>1033</v>
      </c>
      <c r="D884" s="1">
        <v>45966</v>
      </c>
      <c r="E884" s="1">
        <v>45992</v>
      </c>
      <c r="F884" t="s">
        <v>1016</v>
      </c>
      <c r="G884" t="s">
        <v>1017</v>
      </c>
      <c r="H884" t="s">
        <v>1018</v>
      </c>
      <c r="I884" t="s">
        <v>1018</v>
      </c>
      <c r="J884" t="s">
        <v>1019</v>
      </c>
      <c r="K884">
        <v>51520</v>
      </c>
      <c r="L884" t="s">
        <v>1020</v>
      </c>
      <c r="M884">
        <v>31</v>
      </c>
      <c r="N884" t="s">
        <v>1025</v>
      </c>
    </row>
    <row r="885" spans="1:14" x14ac:dyDescent="0.3">
      <c r="A885" t="s">
        <v>897</v>
      </c>
      <c r="B885" t="s">
        <v>1026</v>
      </c>
      <c r="C885" t="s">
        <v>1022</v>
      </c>
      <c r="D885" s="1">
        <v>45829</v>
      </c>
      <c r="E885" s="1">
        <v>45854</v>
      </c>
      <c r="F885" t="s">
        <v>1016</v>
      </c>
      <c r="G885" t="s">
        <v>1023</v>
      </c>
      <c r="H885" t="s">
        <v>1016</v>
      </c>
      <c r="I885" t="s">
        <v>1016</v>
      </c>
      <c r="J885" t="s">
        <v>1019</v>
      </c>
      <c r="K885">
        <v>5598</v>
      </c>
      <c r="L885" t="s">
        <v>1020</v>
      </c>
      <c r="M885">
        <v>59</v>
      </c>
      <c r="N885" t="s">
        <v>1021</v>
      </c>
    </row>
    <row r="886" spans="1:14" x14ac:dyDescent="0.3">
      <c r="A886" t="s">
        <v>898</v>
      </c>
      <c r="B886" t="s">
        <v>1037</v>
      </c>
      <c r="C886" t="s">
        <v>1015</v>
      </c>
      <c r="D886" s="1">
        <v>45854</v>
      </c>
      <c r="E886" s="1">
        <v>45872</v>
      </c>
      <c r="F886" t="s">
        <v>1016</v>
      </c>
      <c r="G886" t="s">
        <v>1017</v>
      </c>
      <c r="H886" t="s">
        <v>1018</v>
      </c>
      <c r="I886" t="s">
        <v>1018</v>
      </c>
      <c r="J886" t="s">
        <v>1019</v>
      </c>
      <c r="K886">
        <v>159646</v>
      </c>
      <c r="L886" t="s">
        <v>1020</v>
      </c>
      <c r="M886">
        <v>57</v>
      </c>
      <c r="N886" t="s">
        <v>1036</v>
      </c>
    </row>
    <row r="887" spans="1:14" x14ac:dyDescent="0.3">
      <c r="A887" t="s">
        <v>899</v>
      </c>
      <c r="B887" t="s">
        <v>1014</v>
      </c>
      <c r="C887" t="s">
        <v>1031</v>
      </c>
      <c r="D887" s="1">
        <v>45786</v>
      </c>
      <c r="E887" s="1">
        <v>45831</v>
      </c>
      <c r="F887" t="s">
        <v>1018</v>
      </c>
      <c r="G887" t="s">
        <v>1023</v>
      </c>
      <c r="H887" t="s">
        <v>1016</v>
      </c>
      <c r="I887" t="s">
        <v>1016</v>
      </c>
      <c r="J887" t="s">
        <v>1019</v>
      </c>
      <c r="K887">
        <v>187840</v>
      </c>
      <c r="L887" t="s">
        <v>1020</v>
      </c>
      <c r="M887">
        <v>68</v>
      </c>
      <c r="N887" t="s">
        <v>1030</v>
      </c>
    </row>
    <row r="888" spans="1:14" x14ac:dyDescent="0.3">
      <c r="A888" t="s">
        <v>900</v>
      </c>
      <c r="B888" t="s">
        <v>1032</v>
      </c>
      <c r="C888" t="s">
        <v>1022</v>
      </c>
      <c r="D888" s="1">
        <v>45889</v>
      </c>
      <c r="E888" s="1">
        <v>45928</v>
      </c>
      <c r="F888" t="s">
        <v>1018</v>
      </c>
      <c r="G888" t="s">
        <v>1017</v>
      </c>
      <c r="H888" t="s">
        <v>1018</v>
      </c>
      <c r="I888" t="s">
        <v>1018</v>
      </c>
      <c r="J888" t="s">
        <v>1019</v>
      </c>
      <c r="K888">
        <v>47715</v>
      </c>
      <c r="L888" t="s">
        <v>1020</v>
      </c>
      <c r="M888">
        <v>64</v>
      </c>
      <c r="N888" t="s">
        <v>1030</v>
      </c>
    </row>
    <row r="889" spans="1:14" x14ac:dyDescent="0.3">
      <c r="A889" t="s">
        <v>901</v>
      </c>
      <c r="B889" t="s">
        <v>1032</v>
      </c>
      <c r="C889" t="s">
        <v>1033</v>
      </c>
      <c r="D889" s="1">
        <v>45791</v>
      </c>
      <c r="E889" s="1">
        <v>45803</v>
      </c>
      <c r="F889" t="s">
        <v>1016</v>
      </c>
      <c r="G889" t="s">
        <v>1023</v>
      </c>
      <c r="H889" t="s">
        <v>1016</v>
      </c>
      <c r="I889" t="s">
        <v>1016</v>
      </c>
      <c r="J889" t="s">
        <v>1019</v>
      </c>
      <c r="K889">
        <v>98131</v>
      </c>
      <c r="L889" t="s">
        <v>1020</v>
      </c>
      <c r="M889">
        <v>23</v>
      </c>
      <c r="N889" t="s">
        <v>1021</v>
      </c>
    </row>
    <row r="890" spans="1:14" x14ac:dyDescent="0.3">
      <c r="A890" t="s">
        <v>902</v>
      </c>
      <c r="B890" t="s">
        <v>1034</v>
      </c>
      <c r="C890" t="s">
        <v>1022</v>
      </c>
      <c r="D890" s="1">
        <v>46007</v>
      </c>
      <c r="E890" s="1">
        <v>46012</v>
      </c>
      <c r="F890" t="s">
        <v>1016</v>
      </c>
      <c r="G890" t="s">
        <v>1023</v>
      </c>
      <c r="H890" t="s">
        <v>1016</v>
      </c>
      <c r="I890" t="s">
        <v>1018</v>
      </c>
      <c r="J890" t="s">
        <v>1027</v>
      </c>
      <c r="K890">
        <v>0</v>
      </c>
      <c r="L890" t="s">
        <v>1028</v>
      </c>
      <c r="M890">
        <v>20</v>
      </c>
      <c r="N890" t="s">
        <v>1025</v>
      </c>
    </row>
    <row r="891" spans="1:14" x14ac:dyDescent="0.3">
      <c r="A891" t="s">
        <v>903</v>
      </c>
      <c r="B891" t="s">
        <v>1037</v>
      </c>
      <c r="C891" t="s">
        <v>1015</v>
      </c>
      <c r="D891" s="1">
        <v>45705</v>
      </c>
      <c r="E891" s="1">
        <v>45750</v>
      </c>
      <c r="F891" t="s">
        <v>1018</v>
      </c>
      <c r="G891" t="s">
        <v>1017</v>
      </c>
      <c r="H891" t="s">
        <v>1018</v>
      </c>
      <c r="I891" t="s">
        <v>1018</v>
      </c>
      <c r="J891" t="s">
        <v>1019</v>
      </c>
      <c r="K891">
        <v>102730</v>
      </c>
      <c r="L891" t="s">
        <v>1024</v>
      </c>
      <c r="M891">
        <v>57</v>
      </c>
      <c r="N891" t="s">
        <v>1036</v>
      </c>
    </row>
    <row r="892" spans="1:14" x14ac:dyDescent="0.3">
      <c r="A892" t="s">
        <v>904</v>
      </c>
      <c r="B892" t="s">
        <v>1032</v>
      </c>
      <c r="C892" t="s">
        <v>1035</v>
      </c>
      <c r="D892" s="1">
        <v>45750</v>
      </c>
      <c r="E892" s="1">
        <v>45769</v>
      </c>
      <c r="F892" t="s">
        <v>1016</v>
      </c>
      <c r="G892" t="s">
        <v>1027</v>
      </c>
      <c r="H892" t="s">
        <v>1018</v>
      </c>
      <c r="I892" t="s">
        <v>1018</v>
      </c>
      <c r="J892" t="s">
        <v>1027</v>
      </c>
      <c r="K892">
        <v>0</v>
      </c>
      <c r="L892" t="s">
        <v>1028</v>
      </c>
      <c r="M892">
        <v>29</v>
      </c>
      <c r="N892" t="s">
        <v>1030</v>
      </c>
    </row>
    <row r="893" spans="1:14" x14ac:dyDescent="0.3">
      <c r="A893" t="s">
        <v>905</v>
      </c>
      <c r="B893" t="s">
        <v>1014</v>
      </c>
      <c r="C893" t="s">
        <v>1022</v>
      </c>
      <c r="D893" s="1">
        <v>45894</v>
      </c>
      <c r="E893" s="1">
        <v>45937</v>
      </c>
      <c r="F893" t="s">
        <v>1018</v>
      </c>
      <c r="G893" t="s">
        <v>1027</v>
      </c>
      <c r="H893" t="s">
        <v>1018</v>
      </c>
      <c r="I893" t="s">
        <v>1018</v>
      </c>
      <c r="J893" t="s">
        <v>1027</v>
      </c>
      <c r="K893">
        <v>0</v>
      </c>
      <c r="L893" t="s">
        <v>1028</v>
      </c>
      <c r="M893">
        <v>66</v>
      </c>
      <c r="N893" t="s">
        <v>1030</v>
      </c>
    </row>
    <row r="894" spans="1:14" x14ac:dyDescent="0.3">
      <c r="A894" t="s">
        <v>906</v>
      </c>
      <c r="B894" t="s">
        <v>1026</v>
      </c>
      <c r="C894" t="s">
        <v>1031</v>
      </c>
      <c r="D894" s="1">
        <v>45751</v>
      </c>
      <c r="E894" s="1">
        <v>45792</v>
      </c>
      <c r="F894" t="s">
        <v>1018</v>
      </c>
      <c r="G894" t="s">
        <v>1027</v>
      </c>
      <c r="H894" t="s">
        <v>1018</v>
      </c>
      <c r="I894" t="s">
        <v>1018</v>
      </c>
      <c r="J894" t="s">
        <v>1027</v>
      </c>
      <c r="K894">
        <v>0</v>
      </c>
      <c r="L894" t="s">
        <v>1028</v>
      </c>
      <c r="M894">
        <v>48</v>
      </c>
      <c r="N894" t="s">
        <v>1030</v>
      </c>
    </row>
    <row r="895" spans="1:14" x14ac:dyDescent="0.3">
      <c r="A895" t="s">
        <v>907</v>
      </c>
      <c r="B895" t="s">
        <v>1026</v>
      </c>
      <c r="C895" t="s">
        <v>1022</v>
      </c>
      <c r="D895" s="1">
        <v>45874</v>
      </c>
      <c r="E895" s="1">
        <v>45889</v>
      </c>
      <c r="F895" t="s">
        <v>1016</v>
      </c>
      <c r="G895" t="s">
        <v>1023</v>
      </c>
      <c r="H895" t="s">
        <v>1016</v>
      </c>
      <c r="I895" t="s">
        <v>1018</v>
      </c>
      <c r="J895" t="s">
        <v>1027</v>
      </c>
      <c r="K895">
        <v>0</v>
      </c>
      <c r="L895" t="s">
        <v>1028</v>
      </c>
      <c r="M895">
        <v>41</v>
      </c>
      <c r="N895" t="s">
        <v>1025</v>
      </c>
    </row>
    <row r="896" spans="1:14" x14ac:dyDescent="0.3">
      <c r="A896" t="s">
        <v>908</v>
      </c>
      <c r="B896" t="s">
        <v>1029</v>
      </c>
      <c r="C896" t="s">
        <v>1033</v>
      </c>
      <c r="D896" s="1">
        <v>45768</v>
      </c>
      <c r="E896" s="1">
        <v>45790</v>
      </c>
      <c r="F896" t="s">
        <v>1016</v>
      </c>
      <c r="G896" t="s">
        <v>1027</v>
      </c>
      <c r="H896" t="s">
        <v>1018</v>
      </c>
      <c r="I896" t="s">
        <v>1018</v>
      </c>
      <c r="J896" t="s">
        <v>1027</v>
      </c>
      <c r="K896">
        <v>0</v>
      </c>
      <c r="L896" t="s">
        <v>1028</v>
      </c>
      <c r="M896">
        <v>28</v>
      </c>
      <c r="N896" t="s">
        <v>1030</v>
      </c>
    </row>
    <row r="897" spans="1:14" x14ac:dyDescent="0.3">
      <c r="A897" t="s">
        <v>909</v>
      </c>
      <c r="B897" t="s">
        <v>1014</v>
      </c>
      <c r="C897" t="s">
        <v>1022</v>
      </c>
      <c r="D897" s="1">
        <v>45858</v>
      </c>
      <c r="E897" s="1">
        <v>45867</v>
      </c>
      <c r="F897" t="s">
        <v>1016</v>
      </c>
      <c r="G897" t="s">
        <v>1017</v>
      </c>
      <c r="H897" t="s">
        <v>1018</v>
      </c>
      <c r="I897" t="s">
        <v>1018</v>
      </c>
      <c r="J897" t="s">
        <v>1019</v>
      </c>
      <c r="K897">
        <v>103517</v>
      </c>
      <c r="L897" t="s">
        <v>1020</v>
      </c>
      <c r="M897">
        <v>40</v>
      </c>
      <c r="N897" t="s">
        <v>1025</v>
      </c>
    </row>
    <row r="898" spans="1:14" x14ac:dyDescent="0.3">
      <c r="A898" t="s">
        <v>910</v>
      </c>
      <c r="B898" t="s">
        <v>1032</v>
      </c>
      <c r="C898" t="s">
        <v>1022</v>
      </c>
      <c r="D898" s="1">
        <v>45694</v>
      </c>
      <c r="E898" s="1">
        <v>45709</v>
      </c>
      <c r="F898" t="s">
        <v>1016</v>
      </c>
      <c r="G898" t="s">
        <v>1027</v>
      </c>
      <c r="H898" t="s">
        <v>1018</v>
      </c>
      <c r="I898" t="s">
        <v>1018</v>
      </c>
      <c r="J898" t="s">
        <v>1027</v>
      </c>
      <c r="K898">
        <v>0</v>
      </c>
      <c r="L898" t="s">
        <v>1028</v>
      </c>
      <c r="M898">
        <v>40</v>
      </c>
      <c r="N898" t="s">
        <v>1025</v>
      </c>
    </row>
    <row r="899" spans="1:14" x14ac:dyDescent="0.3">
      <c r="A899" t="s">
        <v>911</v>
      </c>
      <c r="B899" t="s">
        <v>1026</v>
      </c>
      <c r="C899" t="s">
        <v>1015</v>
      </c>
      <c r="D899" s="1">
        <v>45756</v>
      </c>
      <c r="E899" s="1">
        <v>45801</v>
      </c>
      <c r="F899" t="s">
        <v>1018</v>
      </c>
      <c r="G899" t="s">
        <v>1017</v>
      </c>
      <c r="H899" t="s">
        <v>1018</v>
      </c>
      <c r="I899" t="s">
        <v>1018</v>
      </c>
      <c r="J899" t="s">
        <v>1019</v>
      </c>
      <c r="K899">
        <v>90794</v>
      </c>
      <c r="L899" t="s">
        <v>1020</v>
      </c>
      <c r="M899">
        <v>64</v>
      </c>
      <c r="N899" t="s">
        <v>1025</v>
      </c>
    </row>
    <row r="900" spans="1:14" x14ac:dyDescent="0.3">
      <c r="A900" t="s">
        <v>912</v>
      </c>
      <c r="B900" t="s">
        <v>1037</v>
      </c>
      <c r="C900" t="s">
        <v>1022</v>
      </c>
      <c r="D900" s="1">
        <v>45733</v>
      </c>
      <c r="E900" s="1">
        <v>45757</v>
      </c>
      <c r="F900" t="s">
        <v>1016</v>
      </c>
      <c r="G900" t="s">
        <v>1017</v>
      </c>
      <c r="H900" t="s">
        <v>1018</v>
      </c>
      <c r="I900" t="s">
        <v>1018</v>
      </c>
      <c r="J900" t="s">
        <v>1019</v>
      </c>
      <c r="K900">
        <v>181532</v>
      </c>
      <c r="L900" t="s">
        <v>1020</v>
      </c>
      <c r="M900">
        <v>44</v>
      </c>
      <c r="N900" t="s">
        <v>1030</v>
      </c>
    </row>
    <row r="901" spans="1:14" x14ac:dyDescent="0.3">
      <c r="A901" t="s">
        <v>913</v>
      </c>
      <c r="B901" t="s">
        <v>1029</v>
      </c>
      <c r="C901" t="s">
        <v>1031</v>
      </c>
      <c r="D901" s="1">
        <v>45817</v>
      </c>
      <c r="E901" s="1">
        <v>45854</v>
      </c>
      <c r="F901" t="s">
        <v>1018</v>
      </c>
      <c r="G901" t="s">
        <v>1017</v>
      </c>
      <c r="H901" t="s">
        <v>1018</v>
      </c>
      <c r="I901" t="s">
        <v>1018</v>
      </c>
      <c r="J901" t="s">
        <v>1019</v>
      </c>
      <c r="K901">
        <v>152025</v>
      </c>
      <c r="L901" t="s">
        <v>1020</v>
      </c>
      <c r="M901">
        <v>50</v>
      </c>
      <c r="N901" t="s">
        <v>1036</v>
      </c>
    </row>
    <row r="902" spans="1:14" x14ac:dyDescent="0.3">
      <c r="A902" t="s">
        <v>914</v>
      </c>
      <c r="B902" t="s">
        <v>1029</v>
      </c>
      <c r="C902" t="s">
        <v>1015</v>
      </c>
      <c r="D902" s="1">
        <v>45781</v>
      </c>
      <c r="E902" s="1">
        <v>45820</v>
      </c>
      <c r="F902" t="s">
        <v>1018</v>
      </c>
      <c r="G902" t="s">
        <v>1027</v>
      </c>
      <c r="H902" t="s">
        <v>1018</v>
      </c>
      <c r="I902" t="s">
        <v>1018</v>
      </c>
      <c r="J902" t="s">
        <v>1027</v>
      </c>
      <c r="K902">
        <v>0</v>
      </c>
      <c r="L902" t="s">
        <v>1028</v>
      </c>
      <c r="M902">
        <v>57</v>
      </c>
      <c r="N902" t="s">
        <v>1030</v>
      </c>
    </row>
    <row r="903" spans="1:14" x14ac:dyDescent="0.3">
      <c r="A903" t="s">
        <v>915</v>
      </c>
      <c r="B903" t="s">
        <v>1029</v>
      </c>
      <c r="C903" t="s">
        <v>1035</v>
      </c>
      <c r="D903" s="1">
        <v>45814</v>
      </c>
      <c r="E903" s="1">
        <v>45824</v>
      </c>
      <c r="F903" t="s">
        <v>1016</v>
      </c>
      <c r="G903" t="s">
        <v>1017</v>
      </c>
      <c r="H903" t="s">
        <v>1018</v>
      </c>
      <c r="I903" t="s">
        <v>1018</v>
      </c>
      <c r="J903" t="s">
        <v>1019</v>
      </c>
      <c r="K903">
        <v>171147</v>
      </c>
      <c r="L903" t="s">
        <v>1020</v>
      </c>
      <c r="M903">
        <v>29</v>
      </c>
      <c r="N903" t="s">
        <v>1025</v>
      </c>
    </row>
    <row r="904" spans="1:14" x14ac:dyDescent="0.3">
      <c r="A904" t="s">
        <v>916</v>
      </c>
      <c r="B904" t="s">
        <v>1032</v>
      </c>
      <c r="C904" t="s">
        <v>1035</v>
      </c>
      <c r="D904" s="1">
        <v>45780</v>
      </c>
      <c r="E904" s="1">
        <v>45818</v>
      </c>
      <c r="F904" t="s">
        <v>1018</v>
      </c>
      <c r="G904" t="s">
        <v>1017</v>
      </c>
      <c r="H904" t="s">
        <v>1018</v>
      </c>
      <c r="I904" t="s">
        <v>1018</v>
      </c>
      <c r="J904" t="s">
        <v>1019</v>
      </c>
      <c r="K904">
        <v>11667</v>
      </c>
      <c r="L904" t="s">
        <v>1020</v>
      </c>
      <c r="M904">
        <v>46</v>
      </c>
      <c r="N904" t="s">
        <v>1036</v>
      </c>
    </row>
    <row r="905" spans="1:14" x14ac:dyDescent="0.3">
      <c r="A905" t="s">
        <v>917</v>
      </c>
      <c r="B905" t="s">
        <v>1029</v>
      </c>
      <c r="C905" t="s">
        <v>1035</v>
      </c>
      <c r="D905" s="1">
        <v>45720</v>
      </c>
      <c r="E905" s="1">
        <v>45729</v>
      </c>
      <c r="F905" t="s">
        <v>1016</v>
      </c>
      <c r="G905" t="s">
        <v>1023</v>
      </c>
      <c r="H905" t="s">
        <v>1016</v>
      </c>
      <c r="I905" t="s">
        <v>1018</v>
      </c>
      <c r="J905" t="s">
        <v>1027</v>
      </c>
      <c r="K905">
        <v>0</v>
      </c>
      <c r="L905" t="s">
        <v>1028</v>
      </c>
      <c r="M905">
        <v>17</v>
      </c>
      <c r="N905" t="s">
        <v>1021</v>
      </c>
    </row>
    <row r="906" spans="1:14" x14ac:dyDescent="0.3">
      <c r="A906" t="s">
        <v>918</v>
      </c>
      <c r="B906" t="s">
        <v>1032</v>
      </c>
      <c r="C906" t="s">
        <v>1031</v>
      </c>
      <c r="D906" s="1">
        <v>45660</v>
      </c>
      <c r="E906" s="1">
        <v>45677</v>
      </c>
      <c r="F906" t="s">
        <v>1016</v>
      </c>
      <c r="G906" t="s">
        <v>1017</v>
      </c>
      <c r="H906" t="s">
        <v>1018</v>
      </c>
      <c r="I906" t="s">
        <v>1018</v>
      </c>
      <c r="J906" t="s">
        <v>1019</v>
      </c>
      <c r="K906">
        <v>103542</v>
      </c>
      <c r="L906" t="s">
        <v>1020</v>
      </c>
      <c r="M906">
        <v>41</v>
      </c>
      <c r="N906" t="s">
        <v>1030</v>
      </c>
    </row>
    <row r="907" spans="1:14" x14ac:dyDescent="0.3">
      <c r="A907" t="s">
        <v>919</v>
      </c>
      <c r="B907" t="s">
        <v>1037</v>
      </c>
      <c r="C907" t="s">
        <v>1033</v>
      </c>
      <c r="D907" s="1">
        <v>45979</v>
      </c>
      <c r="E907" s="1">
        <v>46018</v>
      </c>
      <c r="F907" t="s">
        <v>1018</v>
      </c>
      <c r="G907" t="s">
        <v>1023</v>
      </c>
      <c r="H907" t="s">
        <v>1016</v>
      </c>
      <c r="I907" t="s">
        <v>1016</v>
      </c>
      <c r="J907" t="s">
        <v>1019</v>
      </c>
      <c r="K907">
        <v>94933</v>
      </c>
      <c r="L907" t="s">
        <v>1020</v>
      </c>
      <c r="M907">
        <v>50</v>
      </c>
      <c r="N907" t="s">
        <v>1021</v>
      </c>
    </row>
    <row r="908" spans="1:14" x14ac:dyDescent="0.3">
      <c r="A908" t="s">
        <v>920</v>
      </c>
      <c r="B908" t="s">
        <v>1032</v>
      </c>
      <c r="C908" t="s">
        <v>1031</v>
      </c>
      <c r="D908" s="1">
        <v>45903</v>
      </c>
      <c r="E908" s="1">
        <v>45908</v>
      </c>
      <c r="F908" t="s">
        <v>1016</v>
      </c>
      <c r="G908" t="s">
        <v>1023</v>
      </c>
      <c r="H908" t="s">
        <v>1016</v>
      </c>
      <c r="I908" t="s">
        <v>1018</v>
      </c>
      <c r="J908" t="s">
        <v>1027</v>
      </c>
      <c r="K908">
        <v>0</v>
      </c>
      <c r="L908" t="s">
        <v>1028</v>
      </c>
      <c r="M908">
        <v>45</v>
      </c>
      <c r="N908" t="s">
        <v>1025</v>
      </c>
    </row>
    <row r="909" spans="1:14" x14ac:dyDescent="0.3">
      <c r="A909" t="s">
        <v>921</v>
      </c>
      <c r="B909" t="s">
        <v>1034</v>
      </c>
      <c r="C909" t="s">
        <v>1033</v>
      </c>
      <c r="D909" s="1">
        <v>45780</v>
      </c>
      <c r="E909" s="1">
        <v>45821</v>
      </c>
      <c r="F909" t="s">
        <v>1018</v>
      </c>
      <c r="G909" t="s">
        <v>1017</v>
      </c>
      <c r="H909" t="s">
        <v>1018</v>
      </c>
      <c r="I909" t="s">
        <v>1018</v>
      </c>
      <c r="J909" t="s">
        <v>1019</v>
      </c>
      <c r="K909">
        <v>23676</v>
      </c>
      <c r="L909" t="s">
        <v>1024</v>
      </c>
      <c r="M909">
        <v>69</v>
      </c>
      <c r="N909" t="s">
        <v>1025</v>
      </c>
    </row>
    <row r="910" spans="1:14" x14ac:dyDescent="0.3">
      <c r="A910" t="s">
        <v>922</v>
      </c>
      <c r="B910" t="s">
        <v>1026</v>
      </c>
      <c r="C910" t="s">
        <v>1035</v>
      </c>
      <c r="D910" s="1">
        <v>45734</v>
      </c>
      <c r="E910" s="1">
        <v>45748</v>
      </c>
      <c r="F910" t="s">
        <v>1016</v>
      </c>
      <c r="G910" t="s">
        <v>1017</v>
      </c>
      <c r="H910" t="s">
        <v>1018</v>
      </c>
      <c r="I910" t="s">
        <v>1018</v>
      </c>
      <c r="J910" t="s">
        <v>1019</v>
      </c>
      <c r="K910">
        <v>16910</v>
      </c>
      <c r="L910" t="s">
        <v>1020</v>
      </c>
      <c r="M910">
        <v>19</v>
      </c>
      <c r="N910" t="s">
        <v>1021</v>
      </c>
    </row>
    <row r="911" spans="1:14" x14ac:dyDescent="0.3">
      <c r="A911" t="s">
        <v>923</v>
      </c>
      <c r="B911" t="s">
        <v>1026</v>
      </c>
      <c r="C911" t="s">
        <v>1031</v>
      </c>
      <c r="D911" s="1">
        <v>45953</v>
      </c>
      <c r="E911" s="1">
        <v>45962</v>
      </c>
      <c r="F911" t="s">
        <v>1016</v>
      </c>
      <c r="G911" t="s">
        <v>1017</v>
      </c>
      <c r="H911" t="s">
        <v>1018</v>
      </c>
      <c r="I911" t="s">
        <v>1018</v>
      </c>
      <c r="J911" t="s">
        <v>1019</v>
      </c>
      <c r="K911">
        <v>84932</v>
      </c>
      <c r="L911" t="s">
        <v>1020</v>
      </c>
      <c r="M911">
        <v>28</v>
      </c>
      <c r="N911" t="s">
        <v>1021</v>
      </c>
    </row>
    <row r="912" spans="1:14" x14ac:dyDescent="0.3">
      <c r="A912" t="s">
        <v>924</v>
      </c>
      <c r="B912" t="s">
        <v>1034</v>
      </c>
      <c r="C912" t="s">
        <v>1015</v>
      </c>
      <c r="D912" s="1">
        <v>45872</v>
      </c>
      <c r="E912" s="1">
        <v>45903</v>
      </c>
      <c r="F912" t="s">
        <v>1018</v>
      </c>
      <c r="G912" t="s">
        <v>1027</v>
      </c>
      <c r="H912" t="s">
        <v>1018</v>
      </c>
      <c r="I912" t="s">
        <v>1018</v>
      </c>
      <c r="J912" t="s">
        <v>1027</v>
      </c>
      <c r="K912">
        <v>0</v>
      </c>
      <c r="L912" t="s">
        <v>1028</v>
      </c>
      <c r="M912">
        <v>60</v>
      </c>
      <c r="N912" t="s">
        <v>1021</v>
      </c>
    </row>
    <row r="913" spans="1:14" x14ac:dyDescent="0.3">
      <c r="A913" t="s">
        <v>925</v>
      </c>
      <c r="B913" t="s">
        <v>1034</v>
      </c>
      <c r="C913" t="s">
        <v>1035</v>
      </c>
      <c r="D913" s="1">
        <v>45706</v>
      </c>
      <c r="E913" s="1">
        <v>45739</v>
      </c>
      <c r="F913" t="s">
        <v>1018</v>
      </c>
      <c r="G913" t="s">
        <v>1023</v>
      </c>
      <c r="H913" t="s">
        <v>1016</v>
      </c>
      <c r="I913" t="s">
        <v>1016</v>
      </c>
      <c r="J913" t="s">
        <v>1019</v>
      </c>
      <c r="K913">
        <v>93149</v>
      </c>
      <c r="L913" t="s">
        <v>1020</v>
      </c>
      <c r="M913">
        <v>72</v>
      </c>
      <c r="N913" t="s">
        <v>1021</v>
      </c>
    </row>
    <row r="914" spans="1:14" x14ac:dyDescent="0.3">
      <c r="A914" t="s">
        <v>926</v>
      </c>
      <c r="B914" t="s">
        <v>1026</v>
      </c>
      <c r="C914" t="s">
        <v>1033</v>
      </c>
      <c r="D914" s="1">
        <v>45788</v>
      </c>
      <c r="E914" s="1">
        <v>45790</v>
      </c>
      <c r="F914" t="s">
        <v>1016</v>
      </c>
      <c r="G914" t="s">
        <v>1023</v>
      </c>
      <c r="H914" t="s">
        <v>1016</v>
      </c>
      <c r="I914" t="s">
        <v>1018</v>
      </c>
      <c r="J914" t="s">
        <v>1027</v>
      </c>
      <c r="K914">
        <v>0</v>
      </c>
      <c r="L914" t="s">
        <v>1028</v>
      </c>
      <c r="M914">
        <v>16</v>
      </c>
      <c r="N914" t="s">
        <v>1036</v>
      </c>
    </row>
    <row r="915" spans="1:14" x14ac:dyDescent="0.3">
      <c r="A915" t="s">
        <v>927</v>
      </c>
      <c r="B915" t="s">
        <v>1037</v>
      </c>
      <c r="C915" t="s">
        <v>1033</v>
      </c>
      <c r="D915" s="1">
        <v>45741</v>
      </c>
      <c r="E915" s="1">
        <v>45783</v>
      </c>
      <c r="F915" t="s">
        <v>1018</v>
      </c>
      <c r="G915" t="s">
        <v>1027</v>
      </c>
      <c r="H915" t="s">
        <v>1018</v>
      </c>
      <c r="I915" t="s">
        <v>1018</v>
      </c>
      <c r="J915" t="s">
        <v>1027</v>
      </c>
      <c r="K915">
        <v>0</v>
      </c>
      <c r="L915" t="s">
        <v>1028</v>
      </c>
      <c r="M915">
        <v>74</v>
      </c>
      <c r="N915" t="s">
        <v>1021</v>
      </c>
    </row>
    <row r="916" spans="1:14" x14ac:dyDescent="0.3">
      <c r="A916" t="s">
        <v>928</v>
      </c>
      <c r="B916" t="s">
        <v>1026</v>
      </c>
      <c r="C916" t="s">
        <v>1015</v>
      </c>
      <c r="D916" s="1">
        <v>45801</v>
      </c>
      <c r="E916" s="1">
        <v>45833</v>
      </c>
      <c r="F916" t="s">
        <v>1018</v>
      </c>
      <c r="G916" t="s">
        <v>1023</v>
      </c>
      <c r="H916" t="s">
        <v>1016</v>
      </c>
      <c r="I916" t="s">
        <v>1016</v>
      </c>
      <c r="J916" t="s">
        <v>1019</v>
      </c>
      <c r="K916">
        <v>120126</v>
      </c>
      <c r="L916" t="s">
        <v>1020</v>
      </c>
      <c r="M916">
        <v>70</v>
      </c>
      <c r="N916" t="s">
        <v>1030</v>
      </c>
    </row>
    <row r="917" spans="1:14" x14ac:dyDescent="0.3">
      <c r="A917" t="s">
        <v>929</v>
      </c>
      <c r="B917" t="s">
        <v>1026</v>
      </c>
      <c r="C917" t="s">
        <v>1031</v>
      </c>
      <c r="D917" s="1">
        <v>45737</v>
      </c>
      <c r="E917" s="1">
        <v>45772</v>
      </c>
      <c r="F917" t="s">
        <v>1018</v>
      </c>
      <c r="G917" t="s">
        <v>1023</v>
      </c>
      <c r="H917" t="s">
        <v>1016</v>
      </c>
      <c r="I917" t="s">
        <v>1016</v>
      </c>
      <c r="J917" t="s">
        <v>1019</v>
      </c>
      <c r="K917">
        <v>33462</v>
      </c>
      <c r="L917" t="s">
        <v>1020</v>
      </c>
      <c r="M917">
        <v>40</v>
      </c>
      <c r="N917" t="s">
        <v>1036</v>
      </c>
    </row>
    <row r="918" spans="1:14" x14ac:dyDescent="0.3">
      <c r="A918" t="s">
        <v>930</v>
      </c>
      <c r="B918" t="s">
        <v>1037</v>
      </c>
      <c r="C918" t="s">
        <v>1033</v>
      </c>
      <c r="D918" s="1">
        <v>45769</v>
      </c>
      <c r="E918" s="1">
        <v>45813</v>
      </c>
      <c r="F918" t="s">
        <v>1018</v>
      </c>
      <c r="G918" t="s">
        <v>1023</v>
      </c>
      <c r="H918" t="s">
        <v>1016</v>
      </c>
      <c r="I918" t="s">
        <v>1018</v>
      </c>
      <c r="J918" t="s">
        <v>1027</v>
      </c>
      <c r="K918">
        <v>0</v>
      </c>
      <c r="L918" t="s">
        <v>1028</v>
      </c>
      <c r="M918">
        <v>71</v>
      </c>
      <c r="N918" t="s">
        <v>1025</v>
      </c>
    </row>
    <row r="919" spans="1:14" x14ac:dyDescent="0.3">
      <c r="A919" t="s">
        <v>931</v>
      </c>
      <c r="B919" t="s">
        <v>1032</v>
      </c>
      <c r="C919" t="s">
        <v>1015</v>
      </c>
      <c r="D919" s="1">
        <v>45874</v>
      </c>
      <c r="E919" s="1">
        <v>45883</v>
      </c>
      <c r="F919" t="s">
        <v>1016</v>
      </c>
      <c r="G919" t="s">
        <v>1027</v>
      </c>
      <c r="H919" t="s">
        <v>1018</v>
      </c>
      <c r="I919" t="s">
        <v>1018</v>
      </c>
      <c r="J919" t="s">
        <v>1027</v>
      </c>
      <c r="K919">
        <v>0</v>
      </c>
      <c r="L919" t="s">
        <v>1028</v>
      </c>
      <c r="M919">
        <v>25</v>
      </c>
      <c r="N919" t="s">
        <v>1030</v>
      </c>
    </row>
    <row r="920" spans="1:14" x14ac:dyDescent="0.3">
      <c r="A920" t="s">
        <v>932</v>
      </c>
      <c r="B920" t="s">
        <v>1034</v>
      </c>
      <c r="C920" t="s">
        <v>1035</v>
      </c>
      <c r="D920" s="1">
        <v>45924</v>
      </c>
      <c r="E920" s="1">
        <v>45965</v>
      </c>
      <c r="F920" t="s">
        <v>1018</v>
      </c>
      <c r="G920" t="s">
        <v>1027</v>
      </c>
      <c r="H920" t="s">
        <v>1018</v>
      </c>
      <c r="I920" t="s">
        <v>1018</v>
      </c>
      <c r="J920" t="s">
        <v>1027</v>
      </c>
      <c r="K920">
        <v>0</v>
      </c>
      <c r="L920" t="s">
        <v>1028</v>
      </c>
      <c r="M920">
        <v>76</v>
      </c>
      <c r="N920" t="s">
        <v>1021</v>
      </c>
    </row>
    <row r="921" spans="1:14" x14ac:dyDescent="0.3">
      <c r="A921" t="s">
        <v>933</v>
      </c>
      <c r="B921" t="s">
        <v>1029</v>
      </c>
      <c r="C921" t="s">
        <v>1015</v>
      </c>
      <c r="D921" s="1">
        <v>45937</v>
      </c>
      <c r="E921" s="1">
        <v>45956</v>
      </c>
      <c r="F921" t="s">
        <v>1016</v>
      </c>
      <c r="G921" t="s">
        <v>1023</v>
      </c>
      <c r="H921" t="s">
        <v>1016</v>
      </c>
      <c r="I921" t="s">
        <v>1016</v>
      </c>
      <c r="J921" t="s">
        <v>1019</v>
      </c>
      <c r="K921">
        <v>191022</v>
      </c>
      <c r="L921" t="s">
        <v>1020</v>
      </c>
      <c r="M921">
        <v>29</v>
      </c>
      <c r="N921" t="s">
        <v>1036</v>
      </c>
    </row>
    <row r="922" spans="1:14" x14ac:dyDescent="0.3">
      <c r="A922" t="s">
        <v>934</v>
      </c>
      <c r="B922" t="s">
        <v>1014</v>
      </c>
      <c r="C922" t="s">
        <v>1022</v>
      </c>
      <c r="D922" s="1">
        <v>45851</v>
      </c>
      <c r="E922" s="1">
        <v>45887</v>
      </c>
      <c r="F922" t="s">
        <v>1018</v>
      </c>
      <c r="G922" t="s">
        <v>1027</v>
      </c>
      <c r="H922" t="s">
        <v>1018</v>
      </c>
      <c r="I922" t="s">
        <v>1018</v>
      </c>
      <c r="J922" t="s">
        <v>1027</v>
      </c>
      <c r="K922">
        <v>0</v>
      </c>
      <c r="L922" t="s">
        <v>1028</v>
      </c>
      <c r="M922">
        <v>68</v>
      </c>
      <c r="N922" t="s">
        <v>1025</v>
      </c>
    </row>
    <row r="923" spans="1:14" x14ac:dyDescent="0.3">
      <c r="A923" t="s">
        <v>935</v>
      </c>
      <c r="B923" t="s">
        <v>1029</v>
      </c>
      <c r="C923" t="s">
        <v>1033</v>
      </c>
      <c r="D923" s="1">
        <v>46009</v>
      </c>
      <c r="E923" s="1">
        <v>46025</v>
      </c>
      <c r="F923" t="s">
        <v>1016</v>
      </c>
      <c r="G923" t="s">
        <v>1023</v>
      </c>
      <c r="H923" t="s">
        <v>1016</v>
      </c>
      <c r="I923" t="s">
        <v>1018</v>
      </c>
      <c r="J923" t="s">
        <v>1027</v>
      </c>
      <c r="K923">
        <v>0</v>
      </c>
      <c r="L923" t="s">
        <v>1028</v>
      </c>
      <c r="M923">
        <v>48</v>
      </c>
      <c r="N923" t="s">
        <v>1036</v>
      </c>
    </row>
    <row r="924" spans="1:14" x14ac:dyDescent="0.3">
      <c r="A924" t="s">
        <v>936</v>
      </c>
      <c r="B924" t="s">
        <v>1032</v>
      </c>
      <c r="C924" t="s">
        <v>1035</v>
      </c>
      <c r="D924" s="1">
        <v>45931</v>
      </c>
      <c r="E924" s="1">
        <v>45944</v>
      </c>
      <c r="F924" t="s">
        <v>1016</v>
      </c>
      <c r="G924" t="s">
        <v>1017</v>
      </c>
      <c r="H924" t="s">
        <v>1018</v>
      </c>
      <c r="I924" t="s">
        <v>1018</v>
      </c>
      <c r="J924" t="s">
        <v>1019</v>
      </c>
      <c r="K924">
        <v>137497</v>
      </c>
      <c r="L924" t="s">
        <v>1020</v>
      </c>
      <c r="M924">
        <v>22</v>
      </c>
      <c r="N924" t="s">
        <v>1021</v>
      </c>
    </row>
    <row r="925" spans="1:14" x14ac:dyDescent="0.3">
      <c r="A925" t="s">
        <v>937</v>
      </c>
      <c r="B925" t="s">
        <v>1026</v>
      </c>
      <c r="C925" t="s">
        <v>1031</v>
      </c>
      <c r="D925" s="1">
        <v>45751</v>
      </c>
      <c r="E925" s="1">
        <v>45756</v>
      </c>
      <c r="F925" t="s">
        <v>1016</v>
      </c>
      <c r="G925" t="s">
        <v>1017</v>
      </c>
      <c r="H925" t="s">
        <v>1018</v>
      </c>
      <c r="I925" t="s">
        <v>1018</v>
      </c>
      <c r="J925" t="s">
        <v>1019</v>
      </c>
      <c r="K925">
        <v>21318</v>
      </c>
      <c r="L925" t="s">
        <v>1024</v>
      </c>
      <c r="M925">
        <v>11</v>
      </c>
      <c r="N925" t="s">
        <v>1025</v>
      </c>
    </row>
    <row r="926" spans="1:14" x14ac:dyDescent="0.3">
      <c r="A926" t="s">
        <v>938</v>
      </c>
      <c r="B926" t="s">
        <v>1037</v>
      </c>
      <c r="C926" t="s">
        <v>1022</v>
      </c>
      <c r="D926" s="1">
        <v>45738</v>
      </c>
      <c r="E926" s="1">
        <v>45752</v>
      </c>
      <c r="F926" t="s">
        <v>1016</v>
      </c>
      <c r="G926" t="s">
        <v>1017</v>
      </c>
      <c r="H926" t="s">
        <v>1018</v>
      </c>
      <c r="I926" t="s">
        <v>1018</v>
      </c>
      <c r="J926" t="s">
        <v>1019</v>
      </c>
      <c r="K926">
        <v>192861</v>
      </c>
      <c r="L926" t="s">
        <v>1020</v>
      </c>
      <c r="M926">
        <v>21</v>
      </c>
      <c r="N926" t="s">
        <v>1036</v>
      </c>
    </row>
    <row r="927" spans="1:14" x14ac:dyDescent="0.3">
      <c r="A927" t="s">
        <v>939</v>
      </c>
      <c r="B927" t="s">
        <v>1014</v>
      </c>
      <c r="C927" t="s">
        <v>1031</v>
      </c>
      <c r="D927" s="1">
        <v>45821</v>
      </c>
      <c r="E927" s="1">
        <v>45862</v>
      </c>
      <c r="F927" t="s">
        <v>1018</v>
      </c>
      <c r="G927" t="s">
        <v>1027</v>
      </c>
      <c r="H927" t="s">
        <v>1018</v>
      </c>
      <c r="I927" t="s">
        <v>1018</v>
      </c>
      <c r="J927" t="s">
        <v>1027</v>
      </c>
      <c r="K927">
        <v>0</v>
      </c>
      <c r="L927" t="s">
        <v>1028</v>
      </c>
      <c r="M927">
        <v>50</v>
      </c>
      <c r="N927" t="s">
        <v>1021</v>
      </c>
    </row>
    <row r="928" spans="1:14" x14ac:dyDescent="0.3">
      <c r="A928" t="s">
        <v>940</v>
      </c>
      <c r="B928" t="s">
        <v>1034</v>
      </c>
      <c r="C928" t="s">
        <v>1022</v>
      </c>
      <c r="D928" s="1">
        <v>46005</v>
      </c>
      <c r="E928" s="1">
        <v>46029</v>
      </c>
      <c r="F928" t="s">
        <v>1016</v>
      </c>
      <c r="G928" t="s">
        <v>1017</v>
      </c>
      <c r="H928" t="s">
        <v>1018</v>
      </c>
      <c r="I928" t="s">
        <v>1018</v>
      </c>
      <c r="J928" t="s">
        <v>1019</v>
      </c>
      <c r="K928">
        <v>96715</v>
      </c>
      <c r="L928" t="s">
        <v>1020</v>
      </c>
      <c r="M928">
        <v>53</v>
      </c>
      <c r="N928" t="s">
        <v>1030</v>
      </c>
    </row>
    <row r="929" spans="1:14" x14ac:dyDescent="0.3">
      <c r="A929" t="s">
        <v>941</v>
      </c>
      <c r="B929" t="s">
        <v>1014</v>
      </c>
      <c r="C929" t="s">
        <v>1035</v>
      </c>
      <c r="D929" s="1">
        <v>45660</v>
      </c>
      <c r="E929" s="1">
        <v>45694</v>
      </c>
      <c r="F929" t="s">
        <v>1018</v>
      </c>
      <c r="G929" t="s">
        <v>1027</v>
      </c>
      <c r="H929" t="s">
        <v>1018</v>
      </c>
      <c r="I929" t="s">
        <v>1018</v>
      </c>
      <c r="J929" t="s">
        <v>1027</v>
      </c>
      <c r="K929">
        <v>0</v>
      </c>
      <c r="L929" t="s">
        <v>1028</v>
      </c>
      <c r="M929">
        <v>63</v>
      </c>
      <c r="N929" t="s">
        <v>1030</v>
      </c>
    </row>
    <row r="930" spans="1:14" x14ac:dyDescent="0.3">
      <c r="A930" t="s">
        <v>942</v>
      </c>
      <c r="B930" t="s">
        <v>1029</v>
      </c>
      <c r="C930" t="s">
        <v>1031</v>
      </c>
      <c r="D930" s="1">
        <v>45726</v>
      </c>
      <c r="E930" s="1">
        <v>45755</v>
      </c>
      <c r="F930" t="s">
        <v>1016</v>
      </c>
      <c r="G930" t="s">
        <v>1023</v>
      </c>
      <c r="H930" t="s">
        <v>1016</v>
      </c>
      <c r="I930" t="s">
        <v>1016</v>
      </c>
      <c r="J930" t="s">
        <v>1019</v>
      </c>
      <c r="K930">
        <v>145959</v>
      </c>
      <c r="L930" t="s">
        <v>1024</v>
      </c>
      <c r="M930">
        <v>40</v>
      </c>
      <c r="N930" t="s">
        <v>1021</v>
      </c>
    </row>
    <row r="931" spans="1:14" x14ac:dyDescent="0.3">
      <c r="A931" t="s">
        <v>943</v>
      </c>
      <c r="B931" t="s">
        <v>1034</v>
      </c>
      <c r="C931" t="s">
        <v>1031</v>
      </c>
      <c r="D931" s="1">
        <v>45678</v>
      </c>
      <c r="E931" s="1">
        <v>45692</v>
      </c>
      <c r="F931" t="s">
        <v>1016</v>
      </c>
      <c r="G931" t="s">
        <v>1027</v>
      </c>
      <c r="H931" t="s">
        <v>1018</v>
      </c>
      <c r="I931" t="s">
        <v>1018</v>
      </c>
      <c r="J931" t="s">
        <v>1027</v>
      </c>
      <c r="K931">
        <v>0</v>
      </c>
      <c r="L931" t="s">
        <v>1028</v>
      </c>
      <c r="M931">
        <v>42</v>
      </c>
      <c r="N931" t="s">
        <v>1021</v>
      </c>
    </row>
    <row r="932" spans="1:14" x14ac:dyDescent="0.3">
      <c r="A932" t="s">
        <v>944</v>
      </c>
      <c r="B932" t="s">
        <v>1026</v>
      </c>
      <c r="C932" t="s">
        <v>1031</v>
      </c>
      <c r="D932" s="1">
        <v>45662</v>
      </c>
      <c r="E932" s="1">
        <v>45667</v>
      </c>
      <c r="F932" t="s">
        <v>1016</v>
      </c>
      <c r="G932" t="s">
        <v>1017</v>
      </c>
      <c r="H932" t="s">
        <v>1018</v>
      </c>
      <c r="I932" t="s">
        <v>1018</v>
      </c>
      <c r="J932" t="s">
        <v>1019</v>
      </c>
      <c r="K932">
        <v>72161</v>
      </c>
      <c r="L932" t="s">
        <v>1020</v>
      </c>
      <c r="M932">
        <v>35</v>
      </c>
      <c r="N932" t="s">
        <v>1025</v>
      </c>
    </row>
    <row r="933" spans="1:14" x14ac:dyDescent="0.3">
      <c r="A933" t="s">
        <v>945</v>
      </c>
      <c r="B933" t="s">
        <v>1014</v>
      </c>
      <c r="C933" t="s">
        <v>1035</v>
      </c>
      <c r="D933" s="1">
        <v>45800</v>
      </c>
      <c r="E933" s="1">
        <v>45802</v>
      </c>
      <c r="F933" t="s">
        <v>1016</v>
      </c>
      <c r="G933" t="s">
        <v>1027</v>
      </c>
      <c r="H933" t="s">
        <v>1018</v>
      </c>
      <c r="I933" t="s">
        <v>1018</v>
      </c>
      <c r="J933" t="s">
        <v>1027</v>
      </c>
      <c r="K933">
        <v>0</v>
      </c>
      <c r="L933" t="s">
        <v>1028</v>
      </c>
      <c r="M933">
        <v>21</v>
      </c>
      <c r="N933" t="s">
        <v>1025</v>
      </c>
    </row>
    <row r="934" spans="1:14" x14ac:dyDescent="0.3">
      <c r="A934" t="s">
        <v>946</v>
      </c>
      <c r="B934" t="s">
        <v>1014</v>
      </c>
      <c r="C934" t="s">
        <v>1022</v>
      </c>
      <c r="D934" s="1">
        <v>45885</v>
      </c>
      <c r="E934" s="1">
        <v>45918</v>
      </c>
      <c r="F934" t="s">
        <v>1018</v>
      </c>
      <c r="G934" t="s">
        <v>1017</v>
      </c>
      <c r="H934" t="s">
        <v>1018</v>
      </c>
      <c r="I934" t="s">
        <v>1018</v>
      </c>
      <c r="J934" t="s">
        <v>1019</v>
      </c>
      <c r="K934">
        <v>5151</v>
      </c>
      <c r="L934" t="s">
        <v>1020</v>
      </c>
      <c r="M934">
        <v>68</v>
      </c>
      <c r="N934" t="s">
        <v>1036</v>
      </c>
    </row>
    <row r="935" spans="1:14" x14ac:dyDescent="0.3">
      <c r="A935" t="s">
        <v>947</v>
      </c>
      <c r="B935" t="s">
        <v>1014</v>
      </c>
      <c r="C935" t="s">
        <v>1031</v>
      </c>
      <c r="D935" s="1">
        <v>45727</v>
      </c>
      <c r="E935" s="1">
        <v>45732</v>
      </c>
      <c r="F935" t="s">
        <v>1016</v>
      </c>
      <c r="G935" t="s">
        <v>1023</v>
      </c>
      <c r="H935" t="s">
        <v>1016</v>
      </c>
      <c r="I935" t="s">
        <v>1018</v>
      </c>
      <c r="J935" t="s">
        <v>1027</v>
      </c>
      <c r="K935">
        <v>0</v>
      </c>
      <c r="L935" t="s">
        <v>1028</v>
      </c>
      <c r="M935">
        <v>17</v>
      </c>
      <c r="N935" t="s">
        <v>1025</v>
      </c>
    </row>
    <row r="936" spans="1:14" x14ac:dyDescent="0.3">
      <c r="A936" t="s">
        <v>948</v>
      </c>
      <c r="B936" t="s">
        <v>1026</v>
      </c>
      <c r="C936" t="s">
        <v>1031</v>
      </c>
      <c r="D936" s="1">
        <v>45670</v>
      </c>
      <c r="E936" s="1">
        <v>45685</v>
      </c>
      <c r="F936" t="s">
        <v>1016</v>
      </c>
      <c r="G936" t="s">
        <v>1027</v>
      </c>
      <c r="H936" t="s">
        <v>1018</v>
      </c>
      <c r="I936" t="s">
        <v>1018</v>
      </c>
      <c r="J936" t="s">
        <v>1027</v>
      </c>
      <c r="K936">
        <v>0</v>
      </c>
      <c r="L936" t="s">
        <v>1028</v>
      </c>
      <c r="M936">
        <v>24</v>
      </c>
      <c r="N936" t="s">
        <v>1036</v>
      </c>
    </row>
    <row r="937" spans="1:14" x14ac:dyDescent="0.3">
      <c r="A937" t="s">
        <v>949</v>
      </c>
      <c r="B937" t="s">
        <v>1014</v>
      </c>
      <c r="C937" t="s">
        <v>1035</v>
      </c>
      <c r="D937" s="1">
        <v>45827</v>
      </c>
      <c r="E937" s="1">
        <v>45849</v>
      </c>
      <c r="F937" t="s">
        <v>1016</v>
      </c>
      <c r="G937" t="s">
        <v>1017</v>
      </c>
      <c r="H937" t="s">
        <v>1018</v>
      </c>
      <c r="I937" t="s">
        <v>1018</v>
      </c>
      <c r="J937" t="s">
        <v>1019</v>
      </c>
      <c r="K937">
        <v>82376</v>
      </c>
      <c r="L937" t="s">
        <v>1020</v>
      </c>
      <c r="M937">
        <v>34</v>
      </c>
      <c r="N937" t="s">
        <v>1025</v>
      </c>
    </row>
    <row r="938" spans="1:14" x14ac:dyDescent="0.3">
      <c r="A938" t="s">
        <v>950</v>
      </c>
      <c r="B938" t="s">
        <v>1026</v>
      </c>
      <c r="C938" t="s">
        <v>1022</v>
      </c>
      <c r="D938" s="1">
        <v>45942</v>
      </c>
      <c r="E938" s="1">
        <v>45980</v>
      </c>
      <c r="F938" t="s">
        <v>1018</v>
      </c>
      <c r="G938" t="s">
        <v>1023</v>
      </c>
      <c r="H938" t="s">
        <v>1016</v>
      </c>
      <c r="I938" t="s">
        <v>1016</v>
      </c>
      <c r="J938" t="s">
        <v>1019</v>
      </c>
      <c r="K938">
        <v>49962</v>
      </c>
      <c r="L938" t="s">
        <v>1020</v>
      </c>
      <c r="M938">
        <v>53</v>
      </c>
      <c r="N938" t="s">
        <v>1021</v>
      </c>
    </row>
    <row r="939" spans="1:14" x14ac:dyDescent="0.3">
      <c r="A939" t="s">
        <v>951</v>
      </c>
      <c r="B939" t="s">
        <v>1037</v>
      </c>
      <c r="C939" t="s">
        <v>1015</v>
      </c>
      <c r="D939" s="1">
        <v>45887</v>
      </c>
      <c r="E939" s="1">
        <v>45891</v>
      </c>
      <c r="F939" t="s">
        <v>1016</v>
      </c>
      <c r="G939" t="s">
        <v>1017</v>
      </c>
      <c r="H939" t="s">
        <v>1018</v>
      </c>
      <c r="I939" t="s">
        <v>1018</v>
      </c>
      <c r="J939" t="s">
        <v>1019</v>
      </c>
      <c r="K939">
        <v>45934</v>
      </c>
      <c r="L939" t="s">
        <v>1020</v>
      </c>
      <c r="M939">
        <v>33</v>
      </c>
      <c r="N939" t="s">
        <v>1025</v>
      </c>
    </row>
    <row r="940" spans="1:14" x14ac:dyDescent="0.3">
      <c r="A940" t="s">
        <v>952</v>
      </c>
      <c r="B940" t="s">
        <v>1034</v>
      </c>
      <c r="C940" t="s">
        <v>1015</v>
      </c>
      <c r="D940" s="1">
        <v>45935</v>
      </c>
      <c r="E940" s="1">
        <v>45946</v>
      </c>
      <c r="F940" t="s">
        <v>1016</v>
      </c>
      <c r="G940" t="s">
        <v>1017</v>
      </c>
      <c r="H940" t="s">
        <v>1018</v>
      </c>
      <c r="I940" t="s">
        <v>1018</v>
      </c>
      <c r="J940" t="s">
        <v>1019</v>
      </c>
      <c r="K940">
        <v>75802</v>
      </c>
      <c r="L940" t="s">
        <v>1020</v>
      </c>
      <c r="M940">
        <v>49</v>
      </c>
      <c r="N940" t="s">
        <v>1030</v>
      </c>
    </row>
    <row r="941" spans="1:14" x14ac:dyDescent="0.3">
      <c r="A941" t="s">
        <v>953</v>
      </c>
      <c r="B941" t="s">
        <v>1026</v>
      </c>
      <c r="C941" t="s">
        <v>1022</v>
      </c>
      <c r="D941" s="1">
        <v>45793</v>
      </c>
      <c r="E941" s="1">
        <v>45836</v>
      </c>
      <c r="F941" t="s">
        <v>1018</v>
      </c>
      <c r="G941" t="s">
        <v>1027</v>
      </c>
      <c r="H941" t="s">
        <v>1018</v>
      </c>
      <c r="I941" t="s">
        <v>1018</v>
      </c>
      <c r="J941" t="s">
        <v>1027</v>
      </c>
      <c r="K941">
        <v>0</v>
      </c>
      <c r="L941" t="s">
        <v>1028</v>
      </c>
      <c r="M941">
        <v>78</v>
      </c>
      <c r="N941" t="s">
        <v>1025</v>
      </c>
    </row>
    <row r="942" spans="1:14" x14ac:dyDescent="0.3">
      <c r="A942" t="s">
        <v>954</v>
      </c>
      <c r="B942" t="s">
        <v>1032</v>
      </c>
      <c r="C942" t="s">
        <v>1015</v>
      </c>
      <c r="D942" s="1">
        <v>45911</v>
      </c>
      <c r="E942" s="1">
        <v>45925</v>
      </c>
      <c r="F942" t="s">
        <v>1016</v>
      </c>
      <c r="G942" t="s">
        <v>1023</v>
      </c>
      <c r="H942" t="s">
        <v>1016</v>
      </c>
      <c r="I942" t="s">
        <v>1018</v>
      </c>
      <c r="J942" t="s">
        <v>1027</v>
      </c>
      <c r="K942">
        <v>0</v>
      </c>
      <c r="L942" t="s">
        <v>1028</v>
      </c>
      <c r="M942">
        <v>42</v>
      </c>
      <c r="N942" t="s">
        <v>1036</v>
      </c>
    </row>
    <row r="943" spans="1:14" x14ac:dyDescent="0.3">
      <c r="A943" t="s">
        <v>955</v>
      </c>
      <c r="B943" t="s">
        <v>1026</v>
      </c>
      <c r="C943" t="s">
        <v>1035</v>
      </c>
      <c r="D943" s="1">
        <v>45723</v>
      </c>
      <c r="E943" s="1">
        <v>45762</v>
      </c>
      <c r="F943" t="s">
        <v>1018</v>
      </c>
      <c r="G943" t="s">
        <v>1023</v>
      </c>
      <c r="H943" t="s">
        <v>1016</v>
      </c>
      <c r="I943" t="s">
        <v>1016</v>
      </c>
      <c r="J943" t="s">
        <v>1019</v>
      </c>
      <c r="K943">
        <v>150423</v>
      </c>
      <c r="L943" t="s">
        <v>1020</v>
      </c>
      <c r="M943">
        <v>64</v>
      </c>
      <c r="N943" t="s">
        <v>1030</v>
      </c>
    </row>
    <row r="944" spans="1:14" x14ac:dyDescent="0.3">
      <c r="A944" t="s">
        <v>956</v>
      </c>
      <c r="B944" t="s">
        <v>1037</v>
      </c>
      <c r="C944" t="s">
        <v>1015</v>
      </c>
      <c r="D944" s="1">
        <v>45936</v>
      </c>
      <c r="E944" s="1">
        <v>45973</v>
      </c>
      <c r="F944" t="s">
        <v>1018</v>
      </c>
      <c r="G944" t="s">
        <v>1023</v>
      </c>
      <c r="H944" t="s">
        <v>1016</v>
      </c>
      <c r="I944" t="s">
        <v>1016</v>
      </c>
      <c r="J944" t="s">
        <v>1019</v>
      </c>
      <c r="K944">
        <v>51554</v>
      </c>
      <c r="L944" t="s">
        <v>1020</v>
      </c>
      <c r="M944">
        <v>51</v>
      </c>
      <c r="N944" t="s">
        <v>1036</v>
      </c>
    </row>
    <row r="945" spans="1:14" x14ac:dyDescent="0.3">
      <c r="A945" t="s">
        <v>957</v>
      </c>
      <c r="B945" t="s">
        <v>1037</v>
      </c>
      <c r="C945" t="s">
        <v>1031</v>
      </c>
      <c r="D945" s="1">
        <v>45794</v>
      </c>
      <c r="E945" s="1">
        <v>45837</v>
      </c>
      <c r="F945" t="s">
        <v>1018</v>
      </c>
      <c r="G945" t="s">
        <v>1027</v>
      </c>
      <c r="H945" t="s">
        <v>1018</v>
      </c>
      <c r="I945" t="s">
        <v>1018</v>
      </c>
      <c r="J945" t="s">
        <v>1027</v>
      </c>
      <c r="K945">
        <v>0</v>
      </c>
      <c r="L945" t="s">
        <v>1028</v>
      </c>
      <c r="M945">
        <v>61</v>
      </c>
      <c r="N945" t="s">
        <v>1036</v>
      </c>
    </row>
    <row r="946" spans="1:14" x14ac:dyDescent="0.3">
      <c r="A946" t="s">
        <v>958</v>
      </c>
      <c r="B946" t="s">
        <v>1032</v>
      </c>
      <c r="C946" t="s">
        <v>1035</v>
      </c>
      <c r="D946" s="1">
        <v>45762</v>
      </c>
      <c r="E946" s="1">
        <v>45790</v>
      </c>
      <c r="F946" t="s">
        <v>1016</v>
      </c>
      <c r="G946" t="s">
        <v>1017</v>
      </c>
      <c r="H946" t="s">
        <v>1018</v>
      </c>
      <c r="I946" t="s">
        <v>1018</v>
      </c>
      <c r="J946" t="s">
        <v>1019</v>
      </c>
      <c r="K946">
        <v>152093</v>
      </c>
      <c r="L946" t="s">
        <v>1020</v>
      </c>
      <c r="M946">
        <v>60</v>
      </c>
      <c r="N946" t="s">
        <v>1025</v>
      </c>
    </row>
    <row r="947" spans="1:14" x14ac:dyDescent="0.3">
      <c r="A947" t="s">
        <v>959</v>
      </c>
      <c r="B947" t="s">
        <v>1014</v>
      </c>
      <c r="C947" t="s">
        <v>1035</v>
      </c>
      <c r="D947" s="1">
        <v>45757</v>
      </c>
      <c r="E947" s="1">
        <v>45791</v>
      </c>
      <c r="F947" t="s">
        <v>1018</v>
      </c>
      <c r="G947" t="s">
        <v>1027</v>
      </c>
      <c r="H947" t="s">
        <v>1018</v>
      </c>
      <c r="I947" t="s">
        <v>1018</v>
      </c>
      <c r="J947" t="s">
        <v>1027</v>
      </c>
      <c r="K947">
        <v>0</v>
      </c>
      <c r="L947" t="s">
        <v>1028</v>
      </c>
      <c r="M947">
        <v>61</v>
      </c>
      <c r="N947" t="s">
        <v>1030</v>
      </c>
    </row>
    <row r="948" spans="1:14" x14ac:dyDescent="0.3">
      <c r="A948" t="s">
        <v>960</v>
      </c>
      <c r="B948" t="s">
        <v>1029</v>
      </c>
      <c r="C948" t="s">
        <v>1031</v>
      </c>
      <c r="D948" s="1">
        <v>45758</v>
      </c>
      <c r="E948" s="1">
        <v>45798</v>
      </c>
      <c r="F948" t="s">
        <v>1018</v>
      </c>
      <c r="G948" t="s">
        <v>1023</v>
      </c>
      <c r="H948" t="s">
        <v>1016</v>
      </c>
      <c r="I948" t="s">
        <v>1018</v>
      </c>
      <c r="J948" t="s">
        <v>1027</v>
      </c>
      <c r="K948">
        <v>0</v>
      </c>
      <c r="L948" t="s">
        <v>1028</v>
      </c>
      <c r="M948">
        <v>58</v>
      </c>
      <c r="N948" t="s">
        <v>1025</v>
      </c>
    </row>
    <row r="949" spans="1:14" x14ac:dyDescent="0.3">
      <c r="A949" t="s">
        <v>961</v>
      </c>
      <c r="B949" t="s">
        <v>1037</v>
      </c>
      <c r="C949" t="s">
        <v>1015</v>
      </c>
      <c r="D949" s="1">
        <v>45683</v>
      </c>
      <c r="E949" s="1">
        <v>45709</v>
      </c>
      <c r="F949" t="s">
        <v>1016</v>
      </c>
      <c r="G949" t="s">
        <v>1027</v>
      </c>
      <c r="H949" t="s">
        <v>1018</v>
      </c>
      <c r="I949" t="s">
        <v>1018</v>
      </c>
      <c r="J949" t="s">
        <v>1027</v>
      </c>
      <c r="K949">
        <v>0</v>
      </c>
      <c r="L949" t="s">
        <v>1028</v>
      </c>
      <c r="M949">
        <v>36</v>
      </c>
      <c r="N949" t="s">
        <v>1025</v>
      </c>
    </row>
    <row r="950" spans="1:14" x14ac:dyDescent="0.3">
      <c r="A950" t="s">
        <v>962</v>
      </c>
      <c r="B950" t="s">
        <v>1014</v>
      </c>
      <c r="C950" t="s">
        <v>1022</v>
      </c>
      <c r="D950" s="1">
        <v>45819</v>
      </c>
      <c r="E950" s="1">
        <v>45839</v>
      </c>
      <c r="F950" t="s">
        <v>1016</v>
      </c>
      <c r="G950" t="s">
        <v>1023</v>
      </c>
      <c r="H950" t="s">
        <v>1016</v>
      </c>
      <c r="I950" t="s">
        <v>1016</v>
      </c>
      <c r="J950" t="s">
        <v>1019</v>
      </c>
      <c r="K950">
        <v>158877</v>
      </c>
      <c r="L950" t="s">
        <v>1020</v>
      </c>
      <c r="M950">
        <v>59</v>
      </c>
      <c r="N950" t="s">
        <v>1021</v>
      </c>
    </row>
    <row r="951" spans="1:14" x14ac:dyDescent="0.3">
      <c r="A951" t="s">
        <v>963</v>
      </c>
      <c r="B951" t="s">
        <v>1014</v>
      </c>
      <c r="C951" t="s">
        <v>1031</v>
      </c>
      <c r="D951" s="1">
        <v>45718</v>
      </c>
      <c r="E951" s="1">
        <v>45757</v>
      </c>
      <c r="F951" t="s">
        <v>1018</v>
      </c>
      <c r="G951" t="s">
        <v>1017</v>
      </c>
      <c r="H951" t="s">
        <v>1018</v>
      </c>
      <c r="I951" t="s">
        <v>1018</v>
      </c>
      <c r="J951" t="s">
        <v>1019</v>
      </c>
      <c r="K951">
        <v>21511</v>
      </c>
      <c r="L951" t="s">
        <v>1020</v>
      </c>
      <c r="M951">
        <v>44</v>
      </c>
      <c r="N951" t="s">
        <v>1036</v>
      </c>
    </row>
    <row r="952" spans="1:14" x14ac:dyDescent="0.3">
      <c r="A952" t="s">
        <v>964</v>
      </c>
      <c r="B952" t="s">
        <v>1037</v>
      </c>
      <c r="C952" t="s">
        <v>1035</v>
      </c>
      <c r="D952" s="1">
        <v>45858</v>
      </c>
      <c r="E952" s="1">
        <v>45879</v>
      </c>
      <c r="F952" t="s">
        <v>1016</v>
      </c>
      <c r="G952" t="s">
        <v>1027</v>
      </c>
      <c r="H952" t="s">
        <v>1018</v>
      </c>
      <c r="I952" t="s">
        <v>1018</v>
      </c>
      <c r="J952" t="s">
        <v>1027</v>
      </c>
      <c r="K952">
        <v>0</v>
      </c>
      <c r="L952" t="s">
        <v>1028</v>
      </c>
      <c r="M952">
        <v>31</v>
      </c>
      <c r="N952" t="s">
        <v>1021</v>
      </c>
    </row>
    <row r="953" spans="1:14" x14ac:dyDescent="0.3">
      <c r="A953" t="s">
        <v>965</v>
      </c>
      <c r="B953" t="s">
        <v>1032</v>
      </c>
      <c r="C953" t="s">
        <v>1031</v>
      </c>
      <c r="D953" s="1">
        <v>45732</v>
      </c>
      <c r="E953" s="1">
        <v>45776</v>
      </c>
      <c r="F953" t="s">
        <v>1018</v>
      </c>
      <c r="G953" t="s">
        <v>1023</v>
      </c>
      <c r="H953" t="s">
        <v>1016</v>
      </c>
      <c r="I953" t="s">
        <v>1016</v>
      </c>
      <c r="J953" t="s">
        <v>1019</v>
      </c>
      <c r="K953">
        <v>103399</v>
      </c>
      <c r="L953" t="s">
        <v>1020</v>
      </c>
      <c r="M953">
        <v>55</v>
      </c>
      <c r="N953" t="s">
        <v>1021</v>
      </c>
    </row>
    <row r="954" spans="1:14" x14ac:dyDescent="0.3">
      <c r="A954" t="s">
        <v>966</v>
      </c>
      <c r="B954" t="s">
        <v>1026</v>
      </c>
      <c r="C954" t="s">
        <v>1033</v>
      </c>
      <c r="D954" s="1">
        <v>45849</v>
      </c>
      <c r="E954" s="1">
        <v>45880</v>
      </c>
      <c r="F954" t="s">
        <v>1018</v>
      </c>
      <c r="G954" t="s">
        <v>1023</v>
      </c>
      <c r="H954" t="s">
        <v>1016</v>
      </c>
      <c r="I954" t="s">
        <v>1016</v>
      </c>
      <c r="J954" t="s">
        <v>1019</v>
      </c>
      <c r="K954">
        <v>14943</v>
      </c>
      <c r="L954" t="s">
        <v>1020</v>
      </c>
      <c r="M954">
        <v>51</v>
      </c>
      <c r="N954" t="s">
        <v>1036</v>
      </c>
    </row>
    <row r="955" spans="1:14" x14ac:dyDescent="0.3">
      <c r="A955" t="s">
        <v>967</v>
      </c>
      <c r="B955" t="s">
        <v>1026</v>
      </c>
      <c r="C955" t="s">
        <v>1022</v>
      </c>
      <c r="D955" s="1">
        <v>46014</v>
      </c>
      <c r="E955" s="1">
        <v>46041</v>
      </c>
      <c r="F955" t="s">
        <v>1016</v>
      </c>
      <c r="G955" t="s">
        <v>1023</v>
      </c>
      <c r="H955" t="s">
        <v>1016</v>
      </c>
      <c r="I955" t="s">
        <v>1016</v>
      </c>
      <c r="J955" t="s">
        <v>1019</v>
      </c>
      <c r="K955">
        <v>129040</v>
      </c>
      <c r="L955" t="s">
        <v>1020</v>
      </c>
      <c r="M955">
        <v>37</v>
      </c>
      <c r="N955" t="s">
        <v>1036</v>
      </c>
    </row>
    <row r="956" spans="1:14" x14ac:dyDescent="0.3">
      <c r="A956" t="s">
        <v>968</v>
      </c>
      <c r="B956" t="s">
        <v>1032</v>
      </c>
      <c r="C956" t="s">
        <v>1033</v>
      </c>
      <c r="D956" s="1">
        <v>45712</v>
      </c>
      <c r="E956" s="1">
        <v>45718</v>
      </c>
      <c r="F956" t="s">
        <v>1016</v>
      </c>
      <c r="G956" t="s">
        <v>1023</v>
      </c>
      <c r="H956" t="s">
        <v>1016</v>
      </c>
      <c r="I956" t="s">
        <v>1018</v>
      </c>
      <c r="J956" t="s">
        <v>1027</v>
      </c>
      <c r="K956">
        <v>0</v>
      </c>
      <c r="L956" t="s">
        <v>1028</v>
      </c>
      <c r="M956">
        <v>23</v>
      </c>
      <c r="N956" t="s">
        <v>1025</v>
      </c>
    </row>
    <row r="957" spans="1:14" x14ac:dyDescent="0.3">
      <c r="A957" t="s">
        <v>969</v>
      </c>
      <c r="B957" t="s">
        <v>1034</v>
      </c>
      <c r="C957" t="s">
        <v>1015</v>
      </c>
      <c r="D957" s="1">
        <v>45948</v>
      </c>
      <c r="E957" s="1">
        <v>45992</v>
      </c>
      <c r="F957" t="s">
        <v>1018</v>
      </c>
      <c r="G957" t="s">
        <v>1027</v>
      </c>
      <c r="H957" t="s">
        <v>1018</v>
      </c>
      <c r="I957" t="s">
        <v>1018</v>
      </c>
      <c r="J957" t="s">
        <v>1027</v>
      </c>
      <c r="K957">
        <v>0</v>
      </c>
      <c r="L957" t="s">
        <v>1028</v>
      </c>
      <c r="M957">
        <v>64</v>
      </c>
      <c r="N957" t="s">
        <v>1030</v>
      </c>
    </row>
    <row r="958" spans="1:14" x14ac:dyDescent="0.3">
      <c r="A958" t="s">
        <v>970</v>
      </c>
      <c r="B958" t="s">
        <v>1032</v>
      </c>
      <c r="C958" t="s">
        <v>1035</v>
      </c>
      <c r="D958" s="1">
        <v>45840</v>
      </c>
      <c r="E958" s="1">
        <v>45873</v>
      </c>
      <c r="F958" t="s">
        <v>1018</v>
      </c>
      <c r="G958" t="s">
        <v>1023</v>
      </c>
      <c r="H958" t="s">
        <v>1016</v>
      </c>
      <c r="I958" t="s">
        <v>1016</v>
      </c>
      <c r="J958" t="s">
        <v>1019</v>
      </c>
      <c r="K958">
        <v>157589</v>
      </c>
      <c r="L958" t="s">
        <v>1020</v>
      </c>
      <c r="M958">
        <v>73</v>
      </c>
      <c r="N958" t="s">
        <v>1036</v>
      </c>
    </row>
    <row r="959" spans="1:14" x14ac:dyDescent="0.3">
      <c r="A959" t="s">
        <v>971</v>
      </c>
      <c r="B959" t="s">
        <v>1032</v>
      </c>
      <c r="C959" t="s">
        <v>1035</v>
      </c>
      <c r="D959" s="1">
        <v>45711</v>
      </c>
      <c r="E959" s="1">
        <v>45739</v>
      </c>
      <c r="F959" t="s">
        <v>1016</v>
      </c>
      <c r="G959" t="s">
        <v>1023</v>
      </c>
      <c r="H959" t="s">
        <v>1016</v>
      </c>
      <c r="I959" t="s">
        <v>1018</v>
      </c>
      <c r="J959" t="s">
        <v>1027</v>
      </c>
      <c r="K959">
        <v>0</v>
      </c>
      <c r="L959" t="s">
        <v>1028</v>
      </c>
      <c r="M959">
        <v>33</v>
      </c>
      <c r="N959" t="s">
        <v>1021</v>
      </c>
    </row>
    <row r="960" spans="1:14" x14ac:dyDescent="0.3">
      <c r="A960" t="s">
        <v>972</v>
      </c>
      <c r="B960" t="s">
        <v>1032</v>
      </c>
      <c r="C960" t="s">
        <v>1035</v>
      </c>
      <c r="D960" s="1">
        <v>46017</v>
      </c>
      <c r="E960" s="1">
        <v>46031</v>
      </c>
      <c r="F960" t="s">
        <v>1016</v>
      </c>
      <c r="G960" t="s">
        <v>1027</v>
      </c>
      <c r="H960" t="s">
        <v>1018</v>
      </c>
      <c r="I960" t="s">
        <v>1018</v>
      </c>
      <c r="J960" t="s">
        <v>1027</v>
      </c>
      <c r="K960">
        <v>0</v>
      </c>
      <c r="L960" t="s">
        <v>1028</v>
      </c>
      <c r="M960">
        <v>53</v>
      </c>
      <c r="N960" t="s">
        <v>1030</v>
      </c>
    </row>
    <row r="961" spans="1:14" x14ac:dyDescent="0.3">
      <c r="A961" t="s">
        <v>973</v>
      </c>
      <c r="B961" t="s">
        <v>1034</v>
      </c>
      <c r="C961" t="s">
        <v>1033</v>
      </c>
      <c r="D961" s="1">
        <v>45966</v>
      </c>
      <c r="E961" s="1">
        <v>46007</v>
      </c>
      <c r="F961" t="s">
        <v>1018</v>
      </c>
      <c r="G961" t="s">
        <v>1027</v>
      </c>
      <c r="H961" t="s">
        <v>1018</v>
      </c>
      <c r="I961" t="s">
        <v>1018</v>
      </c>
      <c r="J961" t="s">
        <v>1027</v>
      </c>
      <c r="K961">
        <v>0</v>
      </c>
      <c r="L961" t="s">
        <v>1028</v>
      </c>
      <c r="M961">
        <v>54</v>
      </c>
      <c r="N961" t="s">
        <v>1030</v>
      </c>
    </row>
    <row r="962" spans="1:14" x14ac:dyDescent="0.3">
      <c r="A962" t="s">
        <v>974</v>
      </c>
      <c r="B962" t="s">
        <v>1014</v>
      </c>
      <c r="C962" t="s">
        <v>1022</v>
      </c>
      <c r="D962" s="1">
        <v>45935</v>
      </c>
      <c r="E962" s="1">
        <v>45974</v>
      </c>
      <c r="F962" t="s">
        <v>1018</v>
      </c>
      <c r="G962" t="s">
        <v>1023</v>
      </c>
      <c r="H962" t="s">
        <v>1016</v>
      </c>
      <c r="I962" t="s">
        <v>1016</v>
      </c>
      <c r="J962" t="s">
        <v>1019</v>
      </c>
      <c r="K962">
        <v>52639</v>
      </c>
      <c r="L962" t="s">
        <v>1020</v>
      </c>
      <c r="M962">
        <v>68</v>
      </c>
      <c r="N962" t="s">
        <v>1021</v>
      </c>
    </row>
    <row r="963" spans="1:14" x14ac:dyDescent="0.3">
      <c r="A963" t="s">
        <v>975</v>
      </c>
      <c r="B963" t="s">
        <v>1026</v>
      </c>
      <c r="C963" t="s">
        <v>1015</v>
      </c>
      <c r="D963" s="1">
        <v>46010</v>
      </c>
      <c r="E963" s="1">
        <v>46034</v>
      </c>
      <c r="F963" t="s">
        <v>1016</v>
      </c>
      <c r="G963" t="s">
        <v>1017</v>
      </c>
      <c r="H963" t="s">
        <v>1018</v>
      </c>
      <c r="I963" t="s">
        <v>1018</v>
      </c>
      <c r="J963" t="s">
        <v>1019</v>
      </c>
      <c r="K963">
        <v>168314</v>
      </c>
      <c r="L963" t="s">
        <v>1024</v>
      </c>
      <c r="M963">
        <v>36</v>
      </c>
      <c r="N963" t="s">
        <v>1025</v>
      </c>
    </row>
    <row r="964" spans="1:14" x14ac:dyDescent="0.3">
      <c r="A964" t="s">
        <v>976</v>
      </c>
      <c r="B964" t="s">
        <v>1037</v>
      </c>
      <c r="C964" t="s">
        <v>1022</v>
      </c>
      <c r="D964" s="1">
        <v>45885</v>
      </c>
      <c r="E964" s="1">
        <v>45889</v>
      </c>
      <c r="F964" t="s">
        <v>1016</v>
      </c>
      <c r="G964" t="s">
        <v>1023</v>
      </c>
      <c r="H964" t="s">
        <v>1016</v>
      </c>
      <c r="I964" t="s">
        <v>1016</v>
      </c>
      <c r="J964" t="s">
        <v>1019</v>
      </c>
      <c r="K964">
        <v>89693</v>
      </c>
      <c r="L964" t="s">
        <v>1020</v>
      </c>
      <c r="M964">
        <v>19</v>
      </c>
      <c r="N964" t="s">
        <v>1025</v>
      </c>
    </row>
    <row r="965" spans="1:14" x14ac:dyDescent="0.3">
      <c r="A965" t="s">
        <v>977</v>
      </c>
      <c r="B965" t="s">
        <v>1034</v>
      </c>
      <c r="C965" t="s">
        <v>1015</v>
      </c>
      <c r="D965" s="1">
        <v>45699</v>
      </c>
      <c r="E965" s="1">
        <v>45700</v>
      </c>
      <c r="F965" t="s">
        <v>1016</v>
      </c>
      <c r="G965" t="s">
        <v>1017</v>
      </c>
      <c r="H965" t="s">
        <v>1018</v>
      </c>
      <c r="I965" t="s">
        <v>1018</v>
      </c>
      <c r="J965" t="s">
        <v>1019</v>
      </c>
      <c r="K965">
        <v>47593</v>
      </c>
      <c r="L965" t="s">
        <v>1020</v>
      </c>
      <c r="M965">
        <v>8</v>
      </c>
      <c r="N965" t="s">
        <v>1025</v>
      </c>
    </row>
    <row r="966" spans="1:14" x14ac:dyDescent="0.3">
      <c r="A966" t="s">
        <v>978</v>
      </c>
      <c r="B966" t="s">
        <v>1029</v>
      </c>
      <c r="C966" t="s">
        <v>1033</v>
      </c>
      <c r="D966" s="1">
        <v>46002</v>
      </c>
      <c r="E966" s="1">
        <v>46039</v>
      </c>
      <c r="F966" t="s">
        <v>1018</v>
      </c>
      <c r="G966" t="s">
        <v>1017</v>
      </c>
      <c r="H966" t="s">
        <v>1018</v>
      </c>
      <c r="I966" t="s">
        <v>1018</v>
      </c>
      <c r="J966" t="s">
        <v>1019</v>
      </c>
      <c r="K966">
        <v>64657</v>
      </c>
      <c r="L966" t="s">
        <v>1020</v>
      </c>
      <c r="M966">
        <v>42</v>
      </c>
      <c r="N966" t="s">
        <v>1030</v>
      </c>
    </row>
    <row r="967" spans="1:14" x14ac:dyDescent="0.3">
      <c r="A967" t="s">
        <v>979</v>
      </c>
      <c r="B967" t="s">
        <v>1034</v>
      </c>
      <c r="C967" t="s">
        <v>1022</v>
      </c>
      <c r="D967" s="1">
        <v>45951</v>
      </c>
      <c r="E967" s="1">
        <v>45971</v>
      </c>
      <c r="F967" t="s">
        <v>1016</v>
      </c>
      <c r="G967" t="s">
        <v>1017</v>
      </c>
      <c r="H967" t="s">
        <v>1018</v>
      </c>
      <c r="I967" t="s">
        <v>1018</v>
      </c>
      <c r="J967" t="s">
        <v>1019</v>
      </c>
      <c r="K967">
        <v>25047</v>
      </c>
      <c r="L967" t="s">
        <v>1020</v>
      </c>
      <c r="M967">
        <v>34</v>
      </c>
      <c r="N967" t="s">
        <v>1021</v>
      </c>
    </row>
    <row r="968" spans="1:14" x14ac:dyDescent="0.3">
      <c r="A968" t="s">
        <v>980</v>
      </c>
      <c r="B968" t="s">
        <v>1037</v>
      </c>
      <c r="C968" t="s">
        <v>1015</v>
      </c>
      <c r="D968" s="1">
        <v>45763</v>
      </c>
      <c r="E968" s="1">
        <v>45780</v>
      </c>
      <c r="F968" t="s">
        <v>1016</v>
      </c>
      <c r="G968" t="s">
        <v>1017</v>
      </c>
      <c r="H968" t="s">
        <v>1018</v>
      </c>
      <c r="I968" t="s">
        <v>1018</v>
      </c>
      <c r="J968" t="s">
        <v>1019</v>
      </c>
      <c r="K968">
        <v>155731</v>
      </c>
      <c r="L968" t="s">
        <v>1024</v>
      </c>
      <c r="M968">
        <v>42</v>
      </c>
      <c r="N968" t="s">
        <v>1030</v>
      </c>
    </row>
    <row r="969" spans="1:14" x14ac:dyDescent="0.3">
      <c r="A969" t="s">
        <v>981</v>
      </c>
      <c r="B969" t="s">
        <v>1029</v>
      </c>
      <c r="C969" t="s">
        <v>1015</v>
      </c>
      <c r="D969" s="1">
        <v>45972</v>
      </c>
      <c r="E969" s="1">
        <v>45974</v>
      </c>
      <c r="F969" t="s">
        <v>1016</v>
      </c>
      <c r="G969" t="s">
        <v>1017</v>
      </c>
      <c r="H969" t="s">
        <v>1018</v>
      </c>
      <c r="I969" t="s">
        <v>1018</v>
      </c>
      <c r="J969" t="s">
        <v>1019</v>
      </c>
      <c r="K969">
        <v>26161</v>
      </c>
      <c r="L969" t="s">
        <v>1020</v>
      </c>
      <c r="M969">
        <v>40</v>
      </c>
      <c r="N969" t="s">
        <v>1036</v>
      </c>
    </row>
    <row r="970" spans="1:14" x14ac:dyDescent="0.3">
      <c r="A970" t="s">
        <v>982</v>
      </c>
      <c r="B970" t="s">
        <v>1034</v>
      </c>
      <c r="C970" t="s">
        <v>1022</v>
      </c>
      <c r="D970" s="1">
        <v>45934</v>
      </c>
      <c r="E970" s="1">
        <v>45947</v>
      </c>
      <c r="F970" t="s">
        <v>1016</v>
      </c>
      <c r="G970" t="s">
        <v>1027</v>
      </c>
      <c r="H970" t="s">
        <v>1018</v>
      </c>
      <c r="I970" t="s">
        <v>1018</v>
      </c>
      <c r="J970" t="s">
        <v>1027</v>
      </c>
      <c r="K970">
        <v>0</v>
      </c>
      <c r="L970" t="s">
        <v>1028</v>
      </c>
      <c r="M970">
        <v>26</v>
      </c>
      <c r="N970" t="s">
        <v>1030</v>
      </c>
    </row>
    <row r="971" spans="1:14" x14ac:dyDescent="0.3">
      <c r="A971" t="s">
        <v>983</v>
      </c>
      <c r="B971" t="s">
        <v>1034</v>
      </c>
      <c r="C971" t="s">
        <v>1033</v>
      </c>
      <c r="D971" s="1">
        <v>45998</v>
      </c>
      <c r="E971" s="1">
        <v>46032</v>
      </c>
      <c r="F971" t="s">
        <v>1018</v>
      </c>
      <c r="G971" t="s">
        <v>1027</v>
      </c>
      <c r="H971" t="s">
        <v>1018</v>
      </c>
      <c r="I971" t="s">
        <v>1018</v>
      </c>
      <c r="J971" t="s">
        <v>1027</v>
      </c>
      <c r="K971">
        <v>0</v>
      </c>
      <c r="L971" t="s">
        <v>1028</v>
      </c>
      <c r="M971">
        <v>39</v>
      </c>
      <c r="N971" t="s">
        <v>1021</v>
      </c>
    </row>
    <row r="972" spans="1:14" x14ac:dyDescent="0.3">
      <c r="A972" t="s">
        <v>984</v>
      </c>
      <c r="B972" t="s">
        <v>1032</v>
      </c>
      <c r="C972" t="s">
        <v>1031</v>
      </c>
      <c r="D972" s="1">
        <v>45927</v>
      </c>
      <c r="E972" s="1">
        <v>45941</v>
      </c>
      <c r="F972" t="s">
        <v>1016</v>
      </c>
      <c r="G972" t="s">
        <v>1027</v>
      </c>
      <c r="H972" t="s">
        <v>1018</v>
      </c>
      <c r="I972" t="s">
        <v>1018</v>
      </c>
      <c r="J972" t="s">
        <v>1027</v>
      </c>
      <c r="K972">
        <v>0</v>
      </c>
      <c r="L972" t="s">
        <v>1028</v>
      </c>
      <c r="M972">
        <v>44</v>
      </c>
      <c r="N972" t="s">
        <v>1021</v>
      </c>
    </row>
    <row r="973" spans="1:14" x14ac:dyDescent="0.3">
      <c r="A973" t="s">
        <v>985</v>
      </c>
      <c r="B973" t="s">
        <v>1037</v>
      </c>
      <c r="C973" t="s">
        <v>1015</v>
      </c>
      <c r="D973" s="1">
        <v>45826</v>
      </c>
      <c r="E973" s="1">
        <v>45867</v>
      </c>
      <c r="F973" t="s">
        <v>1018</v>
      </c>
      <c r="G973" t="s">
        <v>1023</v>
      </c>
      <c r="H973" t="s">
        <v>1016</v>
      </c>
      <c r="I973" t="s">
        <v>1018</v>
      </c>
      <c r="J973" t="s">
        <v>1027</v>
      </c>
      <c r="K973">
        <v>0</v>
      </c>
      <c r="L973" t="s">
        <v>1028</v>
      </c>
      <c r="M973">
        <v>52</v>
      </c>
      <c r="N973" t="s">
        <v>1025</v>
      </c>
    </row>
    <row r="974" spans="1:14" x14ac:dyDescent="0.3">
      <c r="A974" t="s">
        <v>986</v>
      </c>
      <c r="B974" t="s">
        <v>1026</v>
      </c>
      <c r="C974" t="s">
        <v>1035</v>
      </c>
      <c r="D974" s="1">
        <v>45810</v>
      </c>
      <c r="E974" s="1">
        <v>45840</v>
      </c>
      <c r="F974" t="s">
        <v>1016</v>
      </c>
      <c r="G974" t="s">
        <v>1027</v>
      </c>
      <c r="H974" t="s">
        <v>1018</v>
      </c>
      <c r="I974" t="s">
        <v>1018</v>
      </c>
      <c r="J974" t="s">
        <v>1027</v>
      </c>
      <c r="K974">
        <v>0</v>
      </c>
      <c r="L974" t="s">
        <v>1028</v>
      </c>
      <c r="M974">
        <v>58</v>
      </c>
      <c r="N974" t="s">
        <v>1036</v>
      </c>
    </row>
    <row r="975" spans="1:14" x14ac:dyDescent="0.3">
      <c r="A975" t="s">
        <v>987</v>
      </c>
      <c r="B975" t="s">
        <v>1014</v>
      </c>
      <c r="C975" t="s">
        <v>1015</v>
      </c>
      <c r="D975" s="1">
        <v>45973</v>
      </c>
      <c r="E975" s="1">
        <v>45977</v>
      </c>
      <c r="F975" t="s">
        <v>1016</v>
      </c>
      <c r="G975" t="s">
        <v>1027</v>
      </c>
      <c r="H975" t="s">
        <v>1018</v>
      </c>
      <c r="I975" t="s">
        <v>1018</v>
      </c>
      <c r="J975" t="s">
        <v>1027</v>
      </c>
      <c r="K975">
        <v>0</v>
      </c>
      <c r="L975" t="s">
        <v>1028</v>
      </c>
      <c r="M975">
        <v>31</v>
      </c>
      <c r="N975" t="s">
        <v>1021</v>
      </c>
    </row>
    <row r="976" spans="1:14" x14ac:dyDescent="0.3">
      <c r="A976" t="s">
        <v>988</v>
      </c>
      <c r="B976" t="s">
        <v>1032</v>
      </c>
      <c r="C976" t="s">
        <v>1031</v>
      </c>
      <c r="D976" s="1">
        <v>46002</v>
      </c>
      <c r="E976" s="1">
        <v>46017</v>
      </c>
      <c r="F976" t="s">
        <v>1016</v>
      </c>
      <c r="G976" t="s">
        <v>1027</v>
      </c>
      <c r="H976" t="s">
        <v>1018</v>
      </c>
      <c r="I976" t="s">
        <v>1018</v>
      </c>
      <c r="J976" t="s">
        <v>1027</v>
      </c>
      <c r="K976">
        <v>0</v>
      </c>
      <c r="L976" t="s">
        <v>1028</v>
      </c>
      <c r="M976">
        <v>31</v>
      </c>
      <c r="N976" t="s">
        <v>1036</v>
      </c>
    </row>
    <row r="977" spans="1:14" x14ac:dyDescent="0.3">
      <c r="A977" t="s">
        <v>989</v>
      </c>
      <c r="B977" t="s">
        <v>1032</v>
      </c>
      <c r="C977" t="s">
        <v>1015</v>
      </c>
      <c r="D977" s="1">
        <v>45750</v>
      </c>
      <c r="E977" s="1">
        <v>45779</v>
      </c>
      <c r="F977" t="s">
        <v>1016</v>
      </c>
      <c r="G977" t="s">
        <v>1017</v>
      </c>
      <c r="H977" t="s">
        <v>1018</v>
      </c>
      <c r="I977" t="s">
        <v>1018</v>
      </c>
      <c r="J977" t="s">
        <v>1019</v>
      </c>
      <c r="K977">
        <v>33295</v>
      </c>
      <c r="L977" t="s">
        <v>1020</v>
      </c>
      <c r="M977">
        <v>59</v>
      </c>
      <c r="N977" t="s">
        <v>1036</v>
      </c>
    </row>
    <row r="978" spans="1:14" x14ac:dyDescent="0.3">
      <c r="A978" t="s">
        <v>990</v>
      </c>
      <c r="B978" t="s">
        <v>1014</v>
      </c>
      <c r="C978" t="s">
        <v>1033</v>
      </c>
      <c r="D978" s="1">
        <v>45828</v>
      </c>
      <c r="E978" s="1">
        <v>45835</v>
      </c>
      <c r="F978" t="s">
        <v>1016</v>
      </c>
      <c r="G978" t="s">
        <v>1027</v>
      </c>
      <c r="H978" t="s">
        <v>1018</v>
      </c>
      <c r="I978" t="s">
        <v>1018</v>
      </c>
      <c r="J978" t="s">
        <v>1027</v>
      </c>
      <c r="K978">
        <v>0</v>
      </c>
      <c r="L978" t="s">
        <v>1028</v>
      </c>
      <c r="M978">
        <v>26</v>
      </c>
      <c r="N978" t="s">
        <v>1036</v>
      </c>
    </row>
    <row r="979" spans="1:14" x14ac:dyDescent="0.3">
      <c r="A979" t="s">
        <v>991</v>
      </c>
      <c r="B979" t="s">
        <v>1029</v>
      </c>
      <c r="C979" t="s">
        <v>1015</v>
      </c>
      <c r="D979" s="1">
        <v>45789</v>
      </c>
      <c r="E979" s="1">
        <v>45818</v>
      </c>
      <c r="F979" t="s">
        <v>1016</v>
      </c>
      <c r="G979" t="s">
        <v>1023</v>
      </c>
      <c r="H979" t="s">
        <v>1016</v>
      </c>
      <c r="I979" t="s">
        <v>1016</v>
      </c>
      <c r="J979" t="s">
        <v>1019</v>
      </c>
      <c r="K979">
        <v>181335</v>
      </c>
      <c r="L979" t="s">
        <v>1024</v>
      </c>
      <c r="M979">
        <v>61</v>
      </c>
      <c r="N979" t="s">
        <v>1021</v>
      </c>
    </row>
    <row r="980" spans="1:14" x14ac:dyDescent="0.3">
      <c r="A980" t="s">
        <v>992</v>
      </c>
      <c r="B980" t="s">
        <v>1032</v>
      </c>
      <c r="C980" t="s">
        <v>1022</v>
      </c>
      <c r="D980" s="1">
        <v>46000</v>
      </c>
      <c r="E980" s="1">
        <v>46020</v>
      </c>
      <c r="F980" t="s">
        <v>1016</v>
      </c>
      <c r="G980" t="s">
        <v>1017</v>
      </c>
      <c r="H980" t="s">
        <v>1018</v>
      </c>
      <c r="I980" t="s">
        <v>1018</v>
      </c>
      <c r="J980" t="s">
        <v>1019</v>
      </c>
      <c r="K980">
        <v>151764</v>
      </c>
      <c r="L980" t="s">
        <v>1020</v>
      </c>
      <c r="M980">
        <v>36</v>
      </c>
      <c r="N980" t="s">
        <v>1036</v>
      </c>
    </row>
    <row r="981" spans="1:14" x14ac:dyDescent="0.3">
      <c r="A981" t="s">
        <v>993</v>
      </c>
      <c r="B981" t="s">
        <v>1032</v>
      </c>
      <c r="C981" t="s">
        <v>1033</v>
      </c>
      <c r="D981" s="1">
        <v>45937</v>
      </c>
      <c r="E981" s="1">
        <v>45968</v>
      </c>
      <c r="F981" t="s">
        <v>1018</v>
      </c>
      <c r="G981" t="s">
        <v>1023</v>
      </c>
      <c r="H981" t="s">
        <v>1016</v>
      </c>
      <c r="I981" t="s">
        <v>1018</v>
      </c>
      <c r="J981" t="s">
        <v>1027</v>
      </c>
      <c r="K981">
        <v>0</v>
      </c>
      <c r="L981" t="s">
        <v>1028</v>
      </c>
      <c r="M981">
        <v>51</v>
      </c>
      <c r="N981" t="s">
        <v>1036</v>
      </c>
    </row>
    <row r="982" spans="1:14" x14ac:dyDescent="0.3">
      <c r="A982" t="s">
        <v>994</v>
      </c>
      <c r="B982" t="s">
        <v>1014</v>
      </c>
      <c r="C982" t="s">
        <v>1015</v>
      </c>
      <c r="D982" s="1">
        <v>45663</v>
      </c>
      <c r="E982" s="1">
        <v>45705</v>
      </c>
      <c r="F982" t="s">
        <v>1018</v>
      </c>
      <c r="G982" t="s">
        <v>1017</v>
      </c>
      <c r="H982" t="s">
        <v>1018</v>
      </c>
      <c r="I982" t="s">
        <v>1018</v>
      </c>
      <c r="J982" t="s">
        <v>1019</v>
      </c>
      <c r="K982">
        <v>70891</v>
      </c>
      <c r="L982" t="s">
        <v>1020</v>
      </c>
      <c r="M982">
        <v>53</v>
      </c>
      <c r="N982" t="s">
        <v>1030</v>
      </c>
    </row>
    <row r="983" spans="1:14" x14ac:dyDescent="0.3">
      <c r="A983" t="s">
        <v>995</v>
      </c>
      <c r="B983" t="s">
        <v>1026</v>
      </c>
      <c r="C983" t="s">
        <v>1022</v>
      </c>
      <c r="D983" s="1">
        <v>45770</v>
      </c>
      <c r="E983" s="1">
        <v>45782</v>
      </c>
      <c r="F983" t="s">
        <v>1016</v>
      </c>
      <c r="G983" t="s">
        <v>1027</v>
      </c>
      <c r="H983" t="s">
        <v>1018</v>
      </c>
      <c r="I983" t="s">
        <v>1018</v>
      </c>
      <c r="J983" t="s">
        <v>1027</v>
      </c>
      <c r="K983">
        <v>0</v>
      </c>
      <c r="L983" t="s">
        <v>1028</v>
      </c>
      <c r="M983">
        <v>41</v>
      </c>
      <c r="N983" t="s">
        <v>1036</v>
      </c>
    </row>
    <row r="984" spans="1:14" x14ac:dyDescent="0.3">
      <c r="A984" t="s">
        <v>996</v>
      </c>
      <c r="B984" t="s">
        <v>1014</v>
      </c>
      <c r="C984" t="s">
        <v>1035</v>
      </c>
      <c r="D984" s="1">
        <v>45699</v>
      </c>
      <c r="E984" s="1">
        <v>45728</v>
      </c>
      <c r="F984" t="s">
        <v>1016</v>
      </c>
      <c r="G984" t="s">
        <v>1017</v>
      </c>
      <c r="H984" t="s">
        <v>1018</v>
      </c>
      <c r="I984" t="s">
        <v>1018</v>
      </c>
      <c r="J984" t="s">
        <v>1019</v>
      </c>
      <c r="K984">
        <v>177418</v>
      </c>
      <c r="L984" t="s">
        <v>1020</v>
      </c>
      <c r="M984">
        <v>50</v>
      </c>
      <c r="N984" t="s">
        <v>1025</v>
      </c>
    </row>
    <row r="985" spans="1:14" x14ac:dyDescent="0.3">
      <c r="A985" t="s">
        <v>997</v>
      </c>
      <c r="B985" t="s">
        <v>1037</v>
      </c>
      <c r="C985" t="s">
        <v>1022</v>
      </c>
      <c r="D985" s="1">
        <v>45979</v>
      </c>
      <c r="E985" s="1">
        <v>46004</v>
      </c>
      <c r="F985" t="s">
        <v>1016</v>
      </c>
      <c r="G985" t="s">
        <v>1023</v>
      </c>
      <c r="H985" t="s">
        <v>1016</v>
      </c>
      <c r="I985" t="s">
        <v>1016</v>
      </c>
      <c r="J985" t="s">
        <v>1019</v>
      </c>
      <c r="K985">
        <v>64312</v>
      </c>
      <c r="L985" t="s">
        <v>1020</v>
      </c>
      <c r="M985">
        <v>50</v>
      </c>
      <c r="N985" t="s">
        <v>1030</v>
      </c>
    </row>
    <row r="986" spans="1:14" x14ac:dyDescent="0.3">
      <c r="A986" t="s">
        <v>998</v>
      </c>
      <c r="B986" t="s">
        <v>1026</v>
      </c>
      <c r="C986" t="s">
        <v>1022</v>
      </c>
      <c r="D986" s="1">
        <v>45896</v>
      </c>
      <c r="E986" s="1">
        <v>45901</v>
      </c>
      <c r="F986" t="s">
        <v>1016</v>
      </c>
      <c r="G986" t="s">
        <v>1027</v>
      </c>
      <c r="H986" t="s">
        <v>1018</v>
      </c>
      <c r="I986" t="s">
        <v>1018</v>
      </c>
      <c r="J986" t="s">
        <v>1027</v>
      </c>
      <c r="K986">
        <v>0</v>
      </c>
      <c r="L986" t="s">
        <v>1028</v>
      </c>
      <c r="M986">
        <v>38</v>
      </c>
      <c r="N986" t="s">
        <v>1021</v>
      </c>
    </row>
    <row r="987" spans="1:14" x14ac:dyDescent="0.3">
      <c r="A987" t="s">
        <v>999</v>
      </c>
      <c r="B987" t="s">
        <v>1032</v>
      </c>
      <c r="C987" t="s">
        <v>1035</v>
      </c>
      <c r="D987" s="1">
        <v>45703</v>
      </c>
      <c r="E987" s="1">
        <v>45712</v>
      </c>
      <c r="F987" t="s">
        <v>1016</v>
      </c>
      <c r="G987" t="s">
        <v>1027</v>
      </c>
      <c r="H987" t="s">
        <v>1018</v>
      </c>
      <c r="I987" t="s">
        <v>1018</v>
      </c>
      <c r="J987" t="s">
        <v>1027</v>
      </c>
      <c r="K987">
        <v>0</v>
      </c>
      <c r="L987" t="s">
        <v>1028</v>
      </c>
      <c r="M987">
        <v>19</v>
      </c>
      <c r="N987" t="s">
        <v>1021</v>
      </c>
    </row>
    <row r="988" spans="1:14" x14ac:dyDescent="0.3">
      <c r="A988" t="s">
        <v>1000</v>
      </c>
      <c r="B988" t="s">
        <v>1026</v>
      </c>
      <c r="C988" t="s">
        <v>1035</v>
      </c>
      <c r="D988" s="1">
        <v>45910</v>
      </c>
      <c r="E988" s="1">
        <v>45938</v>
      </c>
      <c r="F988" t="s">
        <v>1016</v>
      </c>
      <c r="G988" t="s">
        <v>1023</v>
      </c>
      <c r="H988" t="s">
        <v>1016</v>
      </c>
      <c r="I988" t="s">
        <v>1016</v>
      </c>
      <c r="J988" t="s">
        <v>1019</v>
      </c>
      <c r="K988">
        <v>103078</v>
      </c>
      <c r="L988" t="s">
        <v>1020</v>
      </c>
      <c r="M988">
        <v>38</v>
      </c>
      <c r="N988" t="s">
        <v>1036</v>
      </c>
    </row>
    <row r="989" spans="1:14" x14ac:dyDescent="0.3">
      <c r="A989" t="s">
        <v>1001</v>
      </c>
      <c r="B989" t="s">
        <v>1034</v>
      </c>
      <c r="C989" t="s">
        <v>1022</v>
      </c>
      <c r="D989" s="1">
        <v>45852</v>
      </c>
      <c r="E989" s="1">
        <v>45893</v>
      </c>
      <c r="F989" t="s">
        <v>1018</v>
      </c>
      <c r="G989" t="s">
        <v>1017</v>
      </c>
      <c r="H989" t="s">
        <v>1018</v>
      </c>
      <c r="I989" t="s">
        <v>1018</v>
      </c>
      <c r="J989" t="s">
        <v>1019</v>
      </c>
      <c r="K989">
        <v>168252</v>
      </c>
      <c r="L989" t="s">
        <v>1020</v>
      </c>
      <c r="M989">
        <v>51</v>
      </c>
      <c r="N989" t="s">
        <v>1021</v>
      </c>
    </row>
    <row r="990" spans="1:14" x14ac:dyDescent="0.3">
      <c r="A990" t="s">
        <v>1002</v>
      </c>
      <c r="B990" t="s">
        <v>1032</v>
      </c>
      <c r="C990" t="s">
        <v>1015</v>
      </c>
      <c r="D990" s="1">
        <v>45684</v>
      </c>
      <c r="E990" s="1">
        <v>45729</v>
      </c>
      <c r="F990" t="s">
        <v>1018</v>
      </c>
      <c r="G990" t="s">
        <v>1027</v>
      </c>
      <c r="H990" t="s">
        <v>1018</v>
      </c>
      <c r="I990" t="s">
        <v>1018</v>
      </c>
      <c r="J990" t="s">
        <v>1027</v>
      </c>
      <c r="K990">
        <v>0</v>
      </c>
      <c r="L990" t="s">
        <v>1028</v>
      </c>
      <c r="M990">
        <v>64</v>
      </c>
      <c r="N990" t="s">
        <v>1021</v>
      </c>
    </row>
    <row r="991" spans="1:14" x14ac:dyDescent="0.3">
      <c r="A991" t="s">
        <v>1003</v>
      </c>
      <c r="B991" t="s">
        <v>1037</v>
      </c>
      <c r="C991" t="s">
        <v>1035</v>
      </c>
      <c r="D991" s="1">
        <v>45789</v>
      </c>
      <c r="E991" s="1">
        <v>45819</v>
      </c>
      <c r="F991" t="s">
        <v>1016</v>
      </c>
      <c r="G991" t="s">
        <v>1023</v>
      </c>
      <c r="H991" t="s">
        <v>1016</v>
      </c>
      <c r="I991" t="s">
        <v>1016</v>
      </c>
      <c r="J991" t="s">
        <v>1019</v>
      </c>
      <c r="K991">
        <v>160865</v>
      </c>
      <c r="L991" t="s">
        <v>1020</v>
      </c>
      <c r="M991">
        <v>42</v>
      </c>
      <c r="N991" t="s">
        <v>1036</v>
      </c>
    </row>
    <row r="992" spans="1:14" x14ac:dyDescent="0.3">
      <c r="A992" t="s">
        <v>1004</v>
      </c>
      <c r="B992" t="s">
        <v>1037</v>
      </c>
      <c r="C992" t="s">
        <v>1015</v>
      </c>
      <c r="D992" s="1">
        <v>46009</v>
      </c>
      <c r="E992" s="1">
        <v>46030</v>
      </c>
      <c r="F992" t="s">
        <v>1016</v>
      </c>
      <c r="G992" t="s">
        <v>1017</v>
      </c>
      <c r="H992" t="s">
        <v>1018</v>
      </c>
      <c r="I992" t="s">
        <v>1018</v>
      </c>
      <c r="J992" t="s">
        <v>1019</v>
      </c>
      <c r="K992">
        <v>35004</v>
      </c>
      <c r="L992" t="s">
        <v>1020</v>
      </c>
      <c r="M992">
        <v>33</v>
      </c>
      <c r="N992" t="s">
        <v>1025</v>
      </c>
    </row>
    <row r="993" spans="1:14" x14ac:dyDescent="0.3">
      <c r="A993" t="s">
        <v>1005</v>
      </c>
      <c r="B993" t="s">
        <v>1032</v>
      </c>
      <c r="C993" t="s">
        <v>1031</v>
      </c>
      <c r="D993" s="1">
        <v>45942</v>
      </c>
      <c r="E993" s="1">
        <v>45961</v>
      </c>
      <c r="F993" t="s">
        <v>1016</v>
      </c>
      <c r="G993" t="s">
        <v>1027</v>
      </c>
      <c r="H993" t="s">
        <v>1018</v>
      </c>
      <c r="I993" t="s">
        <v>1018</v>
      </c>
      <c r="J993" t="s">
        <v>1027</v>
      </c>
      <c r="K993">
        <v>0</v>
      </c>
      <c r="L993" t="s">
        <v>1028</v>
      </c>
      <c r="M993">
        <v>41</v>
      </c>
      <c r="N993" t="s">
        <v>1021</v>
      </c>
    </row>
    <row r="994" spans="1:14" x14ac:dyDescent="0.3">
      <c r="A994" t="s">
        <v>1006</v>
      </c>
      <c r="B994" t="s">
        <v>1034</v>
      </c>
      <c r="C994" t="s">
        <v>1031</v>
      </c>
      <c r="D994" s="1">
        <v>45872</v>
      </c>
      <c r="E994" s="1">
        <v>45914</v>
      </c>
      <c r="F994" t="s">
        <v>1018</v>
      </c>
      <c r="G994" t="s">
        <v>1023</v>
      </c>
      <c r="H994" t="s">
        <v>1016</v>
      </c>
      <c r="I994" t="s">
        <v>1016</v>
      </c>
      <c r="J994" t="s">
        <v>1019</v>
      </c>
      <c r="K994">
        <v>48301</v>
      </c>
      <c r="L994" t="s">
        <v>1020</v>
      </c>
      <c r="M994">
        <v>61</v>
      </c>
      <c r="N994" t="s">
        <v>1025</v>
      </c>
    </row>
    <row r="995" spans="1:14" x14ac:dyDescent="0.3">
      <c r="A995" t="s">
        <v>1007</v>
      </c>
      <c r="B995" t="s">
        <v>1037</v>
      </c>
      <c r="C995" t="s">
        <v>1033</v>
      </c>
      <c r="D995" s="1">
        <v>45762</v>
      </c>
      <c r="E995" s="1">
        <v>45790</v>
      </c>
      <c r="F995" t="s">
        <v>1016</v>
      </c>
      <c r="G995" t="s">
        <v>1027</v>
      </c>
      <c r="H995" t="s">
        <v>1018</v>
      </c>
      <c r="I995" t="s">
        <v>1018</v>
      </c>
      <c r="J995" t="s">
        <v>1027</v>
      </c>
      <c r="K995">
        <v>0</v>
      </c>
      <c r="L995" t="s">
        <v>1028</v>
      </c>
      <c r="M995">
        <v>44</v>
      </c>
      <c r="N995" t="s">
        <v>1036</v>
      </c>
    </row>
    <row r="996" spans="1:14" x14ac:dyDescent="0.3">
      <c r="A996" t="s">
        <v>1008</v>
      </c>
      <c r="B996" t="s">
        <v>1026</v>
      </c>
      <c r="C996" t="s">
        <v>1031</v>
      </c>
      <c r="D996" s="1">
        <v>45701</v>
      </c>
      <c r="E996" s="1">
        <v>45706</v>
      </c>
      <c r="F996" t="s">
        <v>1016</v>
      </c>
      <c r="G996" t="s">
        <v>1023</v>
      </c>
      <c r="H996" t="s">
        <v>1016</v>
      </c>
      <c r="I996" t="s">
        <v>1016</v>
      </c>
      <c r="J996" t="s">
        <v>1019</v>
      </c>
      <c r="K996">
        <v>77857</v>
      </c>
      <c r="L996" t="s">
        <v>1020</v>
      </c>
      <c r="M996">
        <v>11</v>
      </c>
      <c r="N996" t="s">
        <v>1036</v>
      </c>
    </row>
    <row r="997" spans="1:14" x14ac:dyDescent="0.3">
      <c r="A997" t="s">
        <v>1009</v>
      </c>
      <c r="B997" t="s">
        <v>1037</v>
      </c>
      <c r="C997" t="s">
        <v>1033</v>
      </c>
      <c r="D997" s="1">
        <v>46008</v>
      </c>
      <c r="E997" s="1">
        <v>46013</v>
      </c>
      <c r="F997" t="s">
        <v>1016</v>
      </c>
      <c r="G997" t="s">
        <v>1027</v>
      </c>
      <c r="H997" t="s">
        <v>1018</v>
      </c>
      <c r="I997" t="s">
        <v>1018</v>
      </c>
      <c r="J997" t="s">
        <v>1027</v>
      </c>
      <c r="K997">
        <v>0</v>
      </c>
      <c r="L997" t="s">
        <v>1028</v>
      </c>
      <c r="M997">
        <v>37</v>
      </c>
      <c r="N997" t="s">
        <v>1021</v>
      </c>
    </row>
    <row r="998" spans="1:14" x14ac:dyDescent="0.3">
      <c r="A998" t="s">
        <v>1010</v>
      </c>
      <c r="B998" t="s">
        <v>1034</v>
      </c>
      <c r="C998" t="s">
        <v>1022</v>
      </c>
      <c r="D998" s="1">
        <v>45678</v>
      </c>
      <c r="E998" s="1">
        <v>45693</v>
      </c>
      <c r="F998" t="s">
        <v>1016</v>
      </c>
      <c r="G998" t="s">
        <v>1027</v>
      </c>
      <c r="H998" t="s">
        <v>1018</v>
      </c>
      <c r="I998" t="s">
        <v>1018</v>
      </c>
      <c r="J998" t="s">
        <v>1027</v>
      </c>
      <c r="K998">
        <v>0</v>
      </c>
      <c r="L998" t="s">
        <v>1028</v>
      </c>
      <c r="M998">
        <v>38</v>
      </c>
      <c r="N998" t="s">
        <v>1021</v>
      </c>
    </row>
    <row r="999" spans="1:14" x14ac:dyDescent="0.3">
      <c r="A999" t="s">
        <v>1011</v>
      </c>
      <c r="B999" t="s">
        <v>1029</v>
      </c>
      <c r="C999" t="s">
        <v>1022</v>
      </c>
      <c r="D999" s="1">
        <v>45846</v>
      </c>
      <c r="E999" s="1">
        <v>45861</v>
      </c>
      <c r="F999" t="s">
        <v>1016</v>
      </c>
      <c r="G999" t="s">
        <v>1017</v>
      </c>
      <c r="H999" t="s">
        <v>1018</v>
      </c>
      <c r="I999" t="s">
        <v>1018</v>
      </c>
      <c r="J999" t="s">
        <v>1019</v>
      </c>
      <c r="K999">
        <v>163761</v>
      </c>
      <c r="L999" t="s">
        <v>1024</v>
      </c>
      <c r="M999">
        <v>54</v>
      </c>
      <c r="N999" t="s">
        <v>1036</v>
      </c>
    </row>
    <row r="1000" spans="1:14" x14ac:dyDescent="0.3">
      <c r="A1000" t="s">
        <v>1012</v>
      </c>
      <c r="B1000" t="s">
        <v>1014</v>
      </c>
      <c r="C1000" t="s">
        <v>1022</v>
      </c>
      <c r="D1000" s="1">
        <v>45943</v>
      </c>
      <c r="E1000" s="1">
        <v>45968</v>
      </c>
      <c r="F1000" t="s">
        <v>1016</v>
      </c>
      <c r="G1000" t="s">
        <v>1027</v>
      </c>
      <c r="H1000" t="s">
        <v>1018</v>
      </c>
      <c r="I1000" t="s">
        <v>1018</v>
      </c>
      <c r="J1000" t="s">
        <v>1027</v>
      </c>
      <c r="K1000">
        <v>0</v>
      </c>
      <c r="L1000" t="s">
        <v>1028</v>
      </c>
      <c r="M1000">
        <v>58</v>
      </c>
      <c r="N1000" t="s">
        <v>1025</v>
      </c>
    </row>
    <row r="1001" spans="1:14" x14ac:dyDescent="0.3">
      <c r="A1001" t="s">
        <v>1013</v>
      </c>
      <c r="B1001" t="s">
        <v>1034</v>
      </c>
      <c r="C1001" t="s">
        <v>1022</v>
      </c>
      <c r="D1001" s="1">
        <v>46015</v>
      </c>
      <c r="E1001" s="1">
        <v>46059</v>
      </c>
      <c r="F1001" t="s">
        <v>1018</v>
      </c>
      <c r="G1001" t="s">
        <v>1017</v>
      </c>
      <c r="H1001" t="s">
        <v>1018</v>
      </c>
      <c r="I1001" t="s">
        <v>1018</v>
      </c>
      <c r="J1001" t="s">
        <v>1019</v>
      </c>
      <c r="K1001">
        <v>43899</v>
      </c>
      <c r="L1001" t="s">
        <v>1020</v>
      </c>
      <c r="M1001">
        <v>64</v>
      </c>
      <c r="N1001" t="s">
        <v>1025</v>
      </c>
    </row>
  </sheetData>
  <autoFilter ref="A1:N1001" xr:uid="{76A626A7-64A0-4C5C-91FD-D0B5F6830B3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344BB-070C-4B43-8A19-405698ABEE5F}">
  <dimension ref="A1:B10"/>
  <sheetViews>
    <sheetView workbookViewId="0">
      <selection activeCell="B10" sqref="B10"/>
    </sheetView>
  </sheetViews>
  <sheetFormatPr defaultRowHeight="14.4" x14ac:dyDescent="0.3"/>
  <cols>
    <col min="1" max="1" width="26.88671875" bestFit="1" customWidth="1"/>
    <col min="2" max="2" width="14.44140625" bestFit="1" customWidth="1"/>
  </cols>
  <sheetData>
    <row r="1" spans="1:2" x14ac:dyDescent="0.3">
      <c r="A1" t="s">
        <v>1038</v>
      </c>
    </row>
    <row r="2" spans="1:2" x14ac:dyDescent="0.3">
      <c r="A2" t="s">
        <v>1039</v>
      </c>
      <c r="B2">
        <f>COUNTIF(Dataset!A:A,"DBR*")</f>
        <v>1000</v>
      </c>
    </row>
    <row r="3" spans="1:2" x14ac:dyDescent="0.3">
      <c r="A3" t="s">
        <v>1040</v>
      </c>
      <c r="B3" s="2">
        <f>COUNTIF(Dataset!F:F, "Yes")/B2</f>
        <v>0.66700000000000004</v>
      </c>
    </row>
    <row r="4" spans="1:2" x14ac:dyDescent="0.3">
      <c r="A4" t="s">
        <v>1041</v>
      </c>
      <c r="B4" s="3">
        <f>COUNTIF(Dataset!G:G,"Deficient")/B2</f>
        <v>0.35199999999999998</v>
      </c>
    </row>
    <row r="5" spans="1:2" x14ac:dyDescent="0.3">
      <c r="A5" t="s">
        <v>1042</v>
      </c>
      <c r="B5" s="3">
        <f>COUNTIF(Dataset!G:G, "*Reject*") /B2</f>
        <v>0.32800000000000001</v>
      </c>
    </row>
    <row r="6" spans="1:2" x14ac:dyDescent="0.3">
      <c r="A6" t="s">
        <v>1043</v>
      </c>
      <c r="B6" s="3">
        <f>COUNTIF(Dataset!J:J, "Approved")/B2</f>
        <v>0.56699999999999995</v>
      </c>
    </row>
    <row r="7" spans="1:2" x14ac:dyDescent="0.3">
      <c r="A7" t="s">
        <v>1044</v>
      </c>
      <c r="B7" s="4">
        <f>SUM(Dataset!K:K)</f>
        <v>59973746</v>
      </c>
    </row>
    <row r="8" spans="1:2" x14ac:dyDescent="0.3">
      <c r="A8" t="s">
        <v>1045</v>
      </c>
      <c r="B8" s="4">
        <f>AVERAGEIF(Dataset!K:K,"&gt;0")</f>
        <v>105773.8024691358</v>
      </c>
    </row>
    <row r="9" spans="1:2" x14ac:dyDescent="0.3">
      <c r="A9" t="s">
        <v>1046</v>
      </c>
      <c r="B9" s="5">
        <f>AVERAGE(Dataset!M:M)</f>
        <v>46.017000000000003</v>
      </c>
    </row>
    <row r="10" spans="1:2" x14ac:dyDescent="0.3">
      <c r="A10" t="s">
        <v>1047</v>
      </c>
      <c r="B10" s="3">
        <f>COUNTIF(Dataset!L:L, "Paid")/(COUNTIF(Dataset!L:L,"Paid")+COUNTIF(Dataset!L:L, "Pending"))</f>
        <v>0.8271604938271605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74950-4819-4078-AA79-113E065631FF}">
  <dimension ref="A1:W36"/>
  <sheetViews>
    <sheetView showGridLines="0" zoomScale="56" zoomScaleNormal="79" workbookViewId="0">
      <selection activeCell="L17" sqref="L17"/>
    </sheetView>
  </sheetViews>
  <sheetFormatPr defaultRowHeight="18" x14ac:dyDescent="0.3"/>
  <cols>
    <col min="1" max="1" width="19.44140625" style="11" customWidth="1"/>
    <col min="2" max="2" width="21.21875" customWidth="1"/>
    <col min="3" max="3" width="31.6640625" bestFit="1" customWidth="1"/>
    <col min="4" max="4" width="25.5546875" customWidth="1"/>
    <col min="5" max="5" width="21.21875" customWidth="1"/>
    <col min="6" max="6" width="26" customWidth="1"/>
    <col min="7" max="7" width="21.6640625" customWidth="1"/>
    <col min="8" max="8" width="0.21875" customWidth="1"/>
    <col min="9" max="9" width="8.88671875" hidden="1" customWidth="1"/>
    <col min="10" max="10" width="8.88671875" customWidth="1"/>
    <col min="24" max="29" width="8.88671875" customWidth="1"/>
  </cols>
  <sheetData>
    <row r="1" spans="1:23" ht="54.6" customHeight="1" x14ac:dyDescent="0.5">
      <c r="A1" s="19" t="s">
        <v>1053</v>
      </c>
      <c r="B1" s="19"/>
      <c r="C1" s="19"/>
      <c r="D1" s="19"/>
      <c r="E1" s="19"/>
      <c r="F1" s="19"/>
      <c r="G1" s="19"/>
      <c r="H1" s="19"/>
      <c r="I1" s="19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pans="1:23" x14ac:dyDescent="0.3">
      <c r="A2" s="12"/>
      <c r="B2" s="13"/>
      <c r="C2" s="13"/>
      <c r="D2" s="13"/>
      <c r="E2" s="13"/>
      <c r="F2" s="13"/>
      <c r="G2" s="13"/>
      <c r="H2" s="13"/>
      <c r="I2" s="13"/>
    </row>
    <row r="3" spans="1:23" ht="34.799999999999997" customHeight="1" x14ac:dyDescent="0.3">
      <c r="A3" s="18" t="s">
        <v>1039</v>
      </c>
      <c r="B3" s="18" t="s">
        <v>1054</v>
      </c>
      <c r="C3" s="18" t="s">
        <v>1049</v>
      </c>
      <c r="D3" s="18" t="s">
        <v>1055</v>
      </c>
      <c r="E3" s="13"/>
      <c r="F3" s="13"/>
      <c r="G3" s="13"/>
      <c r="H3" s="13"/>
      <c r="I3" s="13"/>
    </row>
    <row r="4" spans="1:23" ht="46.8" customHeight="1" x14ac:dyDescent="0.3">
      <c r="A4" s="14">
        <f>KPI_Summary!B2</f>
        <v>1000</v>
      </c>
      <c r="B4" s="15">
        <f>KPI_Summary!B6</f>
        <v>0.56699999999999995</v>
      </c>
      <c r="C4" s="16">
        <f>KPI_Summary!B7</f>
        <v>59973746</v>
      </c>
      <c r="D4" s="17">
        <f>KPI_Summary!B9</f>
        <v>46.017000000000003</v>
      </c>
      <c r="E4" s="13"/>
      <c r="F4" s="13"/>
      <c r="G4" s="13"/>
      <c r="H4" s="13"/>
      <c r="I4" s="13"/>
    </row>
    <row r="5" spans="1:23" x14ac:dyDescent="0.3">
      <c r="A5" s="12"/>
      <c r="B5" s="13"/>
      <c r="C5" s="13"/>
      <c r="D5" s="13"/>
      <c r="E5" s="13"/>
      <c r="F5" s="13"/>
      <c r="G5" s="13"/>
      <c r="H5" s="13"/>
      <c r="I5" s="13"/>
    </row>
    <row r="6" spans="1:23" x14ac:dyDescent="0.3">
      <c r="A6" s="12"/>
      <c r="B6" s="13"/>
      <c r="C6" s="13"/>
      <c r="D6" s="13"/>
      <c r="E6" s="13"/>
      <c r="F6" s="13"/>
      <c r="G6" s="13"/>
      <c r="H6" s="13"/>
      <c r="I6" s="13"/>
    </row>
    <row r="7" spans="1:23" x14ac:dyDescent="0.3">
      <c r="A7" s="12"/>
      <c r="B7" s="13"/>
      <c r="C7" s="13"/>
      <c r="D7" s="13"/>
      <c r="E7" s="13"/>
      <c r="F7" s="13"/>
      <c r="G7" s="13"/>
      <c r="H7" s="13"/>
      <c r="I7" s="13"/>
    </row>
    <row r="8" spans="1:23" x14ac:dyDescent="0.3">
      <c r="A8" s="12"/>
      <c r="B8" s="13"/>
      <c r="C8" s="13"/>
      <c r="D8" s="13"/>
      <c r="E8" s="13"/>
      <c r="F8" s="13"/>
      <c r="G8" s="13"/>
      <c r="H8" s="13"/>
      <c r="I8" s="13"/>
    </row>
    <row r="9" spans="1:23" x14ac:dyDescent="0.3">
      <c r="A9" s="12"/>
      <c r="B9" s="13"/>
      <c r="C9" s="13"/>
      <c r="D9" s="13"/>
      <c r="E9" s="13"/>
      <c r="F9" s="13"/>
      <c r="G9" s="13"/>
      <c r="H9" s="13"/>
      <c r="I9" s="13"/>
    </row>
    <row r="10" spans="1:23" x14ac:dyDescent="0.3">
      <c r="A10" s="12"/>
      <c r="B10" s="13"/>
      <c r="C10" s="13"/>
      <c r="D10" s="13"/>
      <c r="E10" s="13"/>
      <c r="F10" s="13"/>
      <c r="G10" s="13"/>
      <c r="H10" s="13"/>
      <c r="I10" s="13"/>
    </row>
    <row r="11" spans="1:23" x14ac:dyDescent="0.3">
      <c r="A11" s="12"/>
      <c r="B11" s="13"/>
      <c r="C11" s="13"/>
      <c r="D11" s="13"/>
      <c r="E11" s="13"/>
      <c r="F11" s="13"/>
      <c r="G11" s="13"/>
      <c r="H11" s="13"/>
      <c r="I11" s="13"/>
    </row>
    <row r="12" spans="1:23" x14ac:dyDescent="0.3">
      <c r="A12" s="12"/>
      <c r="B12" s="13"/>
      <c r="C12" s="13"/>
      <c r="D12" s="13"/>
      <c r="E12" s="13"/>
      <c r="F12" s="13"/>
      <c r="G12" s="13"/>
      <c r="H12" s="13"/>
      <c r="I12" s="13"/>
    </row>
    <row r="13" spans="1:23" x14ac:dyDescent="0.3">
      <c r="A13" s="12"/>
      <c r="B13" s="13"/>
      <c r="C13" s="13"/>
      <c r="D13" s="13"/>
      <c r="E13" s="13"/>
      <c r="F13" s="13"/>
      <c r="G13" s="13"/>
      <c r="H13" s="13"/>
      <c r="I13" s="13"/>
    </row>
    <row r="14" spans="1:23" x14ac:dyDescent="0.3">
      <c r="A14" s="12"/>
      <c r="B14" s="13"/>
      <c r="C14" s="13"/>
      <c r="D14" s="13"/>
      <c r="E14" s="13"/>
      <c r="F14" s="13"/>
      <c r="G14" s="13"/>
      <c r="H14" s="13"/>
      <c r="I14" s="13"/>
    </row>
    <row r="15" spans="1:23" x14ac:dyDescent="0.3">
      <c r="A15" s="12"/>
      <c r="B15" s="13"/>
      <c r="C15" s="13"/>
      <c r="D15" s="13"/>
      <c r="E15" s="13"/>
      <c r="F15" s="13"/>
      <c r="G15" s="13"/>
      <c r="H15" s="13"/>
      <c r="I15" s="13"/>
    </row>
    <row r="16" spans="1:23" x14ac:dyDescent="0.3">
      <c r="A16" s="12"/>
      <c r="B16" s="13"/>
      <c r="C16" s="13"/>
      <c r="D16" s="13"/>
      <c r="E16" s="13"/>
      <c r="F16" s="13"/>
      <c r="G16" s="13"/>
      <c r="H16" s="13"/>
      <c r="I16" s="13"/>
    </row>
    <row r="17" spans="1:9" x14ac:dyDescent="0.3">
      <c r="A17" s="12"/>
      <c r="B17" s="13"/>
      <c r="C17" s="13"/>
      <c r="D17" s="13"/>
      <c r="E17" s="13"/>
      <c r="F17" s="13"/>
      <c r="G17" s="13"/>
      <c r="H17" s="13"/>
      <c r="I17" s="13"/>
    </row>
    <row r="18" spans="1:9" x14ac:dyDescent="0.3">
      <c r="A18" s="12"/>
      <c r="B18" s="13"/>
      <c r="C18" s="13"/>
      <c r="D18" s="13"/>
      <c r="E18" s="13"/>
      <c r="F18" s="13"/>
      <c r="G18" s="13"/>
      <c r="H18" s="13"/>
      <c r="I18" s="13"/>
    </row>
    <row r="19" spans="1:9" x14ac:dyDescent="0.3">
      <c r="A19" s="12"/>
      <c r="B19" s="13"/>
      <c r="C19" s="13"/>
      <c r="D19" s="13"/>
      <c r="E19" s="13"/>
      <c r="F19" s="13"/>
      <c r="G19" s="13"/>
      <c r="H19" s="13"/>
      <c r="I19" s="13"/>
    </row>
    <row r="20" spans="1:9" x14ac:dyDescent="0.3">
      <c r="A20" s="12"/>
      <c r="B20" s="13"/>
      <c r="C20" s="13"/>
      <c r="D20" s="13"/>
      <c r="E20" s="13"/>
      <c r="F20" s="13"/>
      <c r="G20" s="13"/>
      <c r="H20" s="13"/>
      <c r="I20" s="13"/>
    </row>
    <row r="21" spans="1:9" x14ac:dyDescent="0.3">
      <c r="A21" s="12"/>
      <c r="B21" s="13"/>
      <c r="C21" s="13"/>
      <c r="D21" s="13"/>
      <c r="E21" s="13"/>
      <c r="F21" s="13"/>
      <c r="G21" s="13"/>
      <c r="H21" s="13"/>
      <c r="I21" s="13"/>
    </row>
    <row r="22" spans="1:9" x14ac:dyDescent="0.3">
      <c r="A22" s="12"/>
      <c r="B22" s="13"/>
      <c r="C22" s="13"/>
      <c r="D22" s="13"/>
      <c r="E22" s="13"/>
      <c r="F22" s="13"/>
      <c r="G22" s="13"/>
      <c r="H22" s="13"/>
      <c r="I22" s="13"/>
    </row>
    <row r="23" spans="1:9" x14ac:dyDescent="0.3">
      <c r="A23" s="12"/>
      <c r="B23" s="13"/>
      <c r="C23" s="13"/>
      <c r="D23" s="13"/>
      <c r="E23" s="13"/>
      <c r="F23" s="13"/>
      <c r="G23" s="13"/>
      <c r="H23" s="13"/>
      <c r="I23" s="13"/>
    </row>
    <row r="24" spans="1:9" x14ac:dyDescent="0.3">
      <c r="A24" s="12"/>
      <c r="B24" s="13"/>
      <c r="C24" s="13"/>
      <c r="D24" s="13"/>
      <c r="E24" s="13"/>
      <c r="F24" s="13"/>
      <c r="G24" s="13"/>
      <c r="H24" s="13"/>
      <c r="I24" s="13"/>
    </row>
    <row r="25" spans="1:9" x14ac:dyDescent="0.3">
      <c r="A25" s="12"/>
      <c r="B25" s="13"/>
      <c r="C25" s="13"/>
      <c r="D25" s="13"/>
      <c r="E25" s="13"/>
      <c r="F25" s="13"/>
      <c r="G25" s="13"/>
      <c r="H25" s="13"/>
      <c r="I25" s="13"/>
    </row>
    <row r="26" spans="1:9" x14ac:dyDescent="0.3">
      <c r="A26" s="12"/>
      <c r="B26" s="13"/>
      <c r="C26" s="13"/>
      <c r="D26" s="13"/>
      <c r="E26" s="13"/>
      <c r="F26" s="13"/>
      <c r="G26" s="13"/>
      <c r="H26" s="13"/>
      <c r="I26" s="13"/>
    </row>
    <row r="27" spans="1:9" x14ac:dyDescent="0.3">
      <c r="A27" s="12"/>
      <c r="B27" s="13"/>
      <c r="C27" s="13"/>
      <c r="D27" s="13"/>
      <c r="E27" s="13"/>
      <c r="F27" s="13"/>
      <c r="G27" s="13"/>
      <c r="H27" s="13"/>
      <c r="I27" s="13"/>
    </row>
    <row r="28" spans="1:9" x14ac:dyDescent="0.3">
      <c r="A28" s="12"/>
      <c r="B28" s="13"/>
      <c r="C28" s="13"/>
      <c r="D28" s="13"/>
      <c r="E28" s="13"/>
      <c r="F28" s="13"/>
      <c r="G28" s="13"/>
      <c r="H28" s="13"/>
      <c r="I28" s="13"/>
    </row>
    <row r="29" spans="1:9" x14ac:dyDescent="0.3">
      <c r="A29" s="12"/>
      <c r="B29" s="13"/>
      <c r="C29" s="13"/>
      <c r="D29" s="13"/>
      <c r="E29" s="13"/>
      <c r="F29" s="13"/>
      <c r="G29" s="13"/>
      <c r="H29" s="13"/>
      <c r="I29" s="13"/>
    </row>
    <row r="30" spans="1:9" x14ac:dyDescent="0.3">
      <c r="A30" s="12"/>
      <c r="B30" s="13"/>
      <c r="C30" s="13"/>
      <c r="D30" s="13"/>
      <c r="E30" s="13"/>
      <c r="F30" s="13"/>
      <c r="G30" s="13"/>
      <c r="H30" s="13"/>
      <c r="I30" s="13"/>
    </row>
    <row r="31" spans="1:9" x14ac:dyDescent="0.3">
      <c r="A31" s="12"/>
      <c r="B31" s="13"/>
      <c r="C31" s="13"/>
      <c r="D31" s="13"/>
      <c r="E31" s="13"/>
      <c r="F31" s="13"/>
      <c r="G31" s="13"/>
      <c r="H31" s="13"/>
      <c r="I31" s="13"/>
    </row>
    <row r="32" spans="1:9" x14ac:dyDescent="0.3">
      <c r="A32" s="12"/>
      <c r="B32" s="13"/>
      <c r="C32" s="13"/>
      <c r="D32" s="13"/>
      <c r="E32" s="13"/>
      <c r="F32" s="13"/>
      <c r="G32" s="13"/>
      <c r="H32" s="13"/>
      <c r="I32" s="13"/>
    </row>
    <row r="33" spans="1:9" x14ac:dyDescent="0.3">
      <c r="A33" s="12"/>
      <c r="B33" s="13"/>
      <c r="C33" s="13"/>
      <c r="D33" s="13"/>
      <c r="E33" s="13"/>
      <c r="F33" s="13"/>
      <c r="G33" s="13"/>
      <c r="H33" s="13"/>
      <c r="I33" s="13"/>
    </row>
    <row r="34" spans="1:9" x14ac:dyDescent="0.3">
      <c r="A34" s="12"/>
      <c r="B34" s="13"/>
      <c r="C34" s="13"/>
      <c r="D34" s="13"/>
      <c r="E34" s="13"/>
      <c r="F34" s="13"/>
      <c r="G34" s="13"/>
      <c r="H34" s="13"/>
      <c r="I34" s="13"/>
    </row>
    <row r="35" spans="1:9" x14ac:dyDescent="0.3">
      <c r="A35" s="12"/>
      <c r="B35" s="13"/>
      <c r="C35" s="13"/>
      <c r="D35" s="13"/>
      <c r="E35" s="13"/>
      <c r="F35" s="13"/>
      <c r="G35" s="13"/>
      <c r="H35" s="13"/>
      <c r="I35" s="13"/>
    </row>
    <row r="36" spans="1:9" x14ac:dyDescent="0.3">
      <c r="A36" s="12"/>
      <c r="B36" s="13"/>
      <c r="C36" s="13"/>
      <c r="D36" s="13"/>
      <c r="E36" s="13"/>
      <c r="F36" s="13"/>
      <c r="G36" s="13"/>
      <c r="H36" s="13"/>
      <c r="I36" s="13"/>
    </row>
  </sheetData>
  <mergeCells count="1">
    <mergeCell ref="A1:I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21129-9438-4005-A9D5-7D522D56CCF4}">
  <dimension ref="A3:D9"/>
  <sheetViews>
    <sheetView zoomScaleNormal="100" workbookViewId="0">
      <selection activeCell="G23" sqref="G23"/>
    </sheetView>
  </sheetViews>
  <sheetFormatPr defaultRowHeight="14.4" x14ac:dyDescent="0.3"/>
  <cols>
    <col min="1" max="1" width="10.77734375" bestFit="1" customWidth="1"/>
    <col min="2" max="2" width="11.109375" bestFit="1" customWidth="1"/>
    <col min="3" max="3" width="15" bestFit="1" customWidth="1"/>
    <col min="4" max="4" width="17.77734375" bestFit="1" customWidth="1"/>
    <col min="5" max="15" width="5" bestFit="1" customWidth="1"/>
    <col min="16" max="264" width="6" bestFit="1" customWidth="1"/>
    <col min="265" max="569" width="7" bestFit="1" customWidth="1"/>
    <col min="570" max="570" width="15" bestFit="1" customWidth="1"/>
    <col min="571" max="583" width="9.5546875" bestFit="1" customWidth="1"/>
    <col min="584" max="832" width="10.5546875" bestFit="1" customWidth="1"/>
    <col min="833" max="1137" width="12.109375" bestFit="1" customWidth="1"/>
    <col min="1138" max="1138" width="15.88671875" bestFit="1" customWidth="1"/>
    <col min="1139" max="1139" width="19.77734375" bestFit="1" customWidth="1"/>
  </cols>
  <sheetData>
    <row r="3" spans="1:4" x14ac:dyDescent="0.3">
      <c r="A3" s="6" t="s">
        <v>0</v>
      </c>
      <c r="B3" t="s">
        <v>1039</v>
      </c>
      <c r="C3" t="s">
        <v>1049</v>
      </c>
      <c r="D3" t="s">
        <v>1050</v>
      </c>
    </row>
    <row r="4" spans="1:4" x14ac:dyDescent="0.3">
      <c r="A4" s="7" t="s">
        <v>1035</v>
      </c>
      <c r="B4">
        <v>213</v>
      </c>
      <c r="C4" s="8">
        <v>14127410</v>
      </c>
      <c r="D4" s="4">
        <v>66325.868544600933</v>
      </c>
    </row>
    <row r="5" spans="1:4" x14ac:dyDescent="0.3">
      <c r="A5" s="7" t="s">
        <v>1033</v>
      </c>
      <c r="B5">
        <v>200</v>
      </c>
      <c r="C5" s="8">
        <v>12345583</v>
      </c>
      <c r="D5" s="4">
        <v>61727.915000000001</v>
      </c>
    </row>
    <row r="6" spans="1:4" x14ac:dyDescent="0.3">
      <c r="A6" s="7" t="s">
        <v>1015</v>
      </c>
      <c r="B6">
        <v>189</v>
      </c>
      <c r="C6" s="8">
        <v>11501286</v>
      </c>
      <c r="D6" s="4">
        <v>60853.365079365081</v>
      </c>
    </row>
    <row r="7" spans="1:4" x14ac:dyDescent="0.3">
      <c r="A7" s="7" t="s">
        <v>1022</v>
      </c>
      <c r="B7">
        <v>209</v>
      </c>
      <c r="C7" s="8">
        <v>12070582</v>
      </c>
      <c r="D7" s="4">
        <v>57753.980861244017</v>
      </c>
    </row>
    <row r="8" spans="1:4" x14ac:dyDescent="0.3">
      <c r="A8" s="7" t="s">
        <v>1031</v>
      </c>
      <c r="B8">
        <v>189</v>
      </c>
      <c r="C8" s="8">
        <v>9928885</v>
      </c>
      <c r="D8" s="4">
        <v>52533.783068783072</v>
      </c>
    </row>
    <row r="9" spans="1:4" x14ac:dyDescent="0.3">
      <c r="A9" s="7" t="s">
        <v>1048</v>
      </c>
      <c r="B9">
        <v>1000</v>
      </c>
      <c r="C9" s="8">
        <v>59973746</v>
      </c>
      <c r="D9" s="4">
        <v>59973.745999999999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96348-8A5B-4AF2-9FF0-07CDBBD31D20}">
  <dimension ref="A3:C10"/>
  <sheetViews>
    <sheetView workbookViewId="0">
      <selection activeCell="I22" sqref="I22"/>
    </sheetView>
  </sheetViews>
  <sheetFormatPr defaultRowHeight="14.4" x14ac:dyDescent="0.3"/>
  <cols>
    <col min="1" max="1" width="17.33203125" bestFit="1" customWidth="1"/>
    <col min="2" max="2" width="11.109375" bestFit="1" customWidth="1"/>
    <col min="3" max="3" width="15" bestFit="1" customWidth="1"/>
  </cols>
  <sheetData>
    <row r="3" spans="1:3" x14ac:dyDescent="0.3">
      <c r="A3" s="6" t="s">
        <v>1051</v>
      </c>
      <c r="B3" t="s">
        <v>1039</v>
      </c>
      <c r="C3" t="s">
        <v>1049</v>
      </c>
    </row>
    <row r="4" spans="1:3" x14ac:dyDescent="0.3">
      <c r="A4" s="7" t="s">
        <v>1014</v>
      </c>
      <c r="B4">
        <v>191</v>
      </c>
      <c r="C4" s="9">
        <v>12172852</v>
      </c>
    </row>
    <row r="5" spans="1:3" x14ac:dyDescent="0.3">
      <c r="A5" s="7" t="s">
        <v>1037</v>
      </c>
      <c r="B5">
        <v>156</v>
      </c>
      <c r="C5" s="9">
        <v>10805378</v>
      </c>
    </row>
    <row r="6" spans="1:3" x14ac:dyDescent="0.3">
      <c r="A6" s="7" t="s">
        <v>1032</v>
      </c>
      <c r="B6">
        <v>187</v>
      </c>
      <c r="C6" s="9">
        <v>10616433</v>
      </c>
    </row>
    <row r="7" spans="1:3" x14ac:dyDescent="0.3">
      <c r="A7" s="7" t="s">
        <v>1029</v>
      </c>
      <c r="B7">
        <v>142</v>
      </c>
      <c r="C7" s="9">
        <v>9361791</v>
      </c>
    </row>
    <row r="8" spans="1:3" x14ac:dyDescent="0.3">
      <c r="A8" s="7" t="s">
        <v>1026</v>
      </c>
      <c r="B8">
        <v>180</v>
      </c>
      <c r="C8" s="9">
        <v>8618476</v>
      </c>
    </row>
    <row r="9" spans="1:3" x14ac:dyDescent="0.3">
      <c r="A9" s="7" t="s">
        <v>1034</v>
      </c>
      <c r="B9">
        <v>144</v>
      </c>
      <c r="C9" s="9">
        <v>8398816</v>
      </c>
    </row>
    <row r="10" spans="1:3" x14ac:dyDescent="0.3">
      <c r="A10" s="7" t="s">
        <v>1048</v>
      </c>
      <c r="B10">
        <v>1000</v>
      </c>
      <c r="C10" s="9">
        <v>59973746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B7619-4369-40FE-84D7-90692F874ADD}">
  <dimension ref="A3:B6"/>
  <sheetViews>
    <sheetView workbookViewId="0">
      <selection activeCell="A3" sqref="A3:B5"/>
    </sheetView>
  </sheetViews>
  <sheetFormatPr defaultRowHeight="14.4" x14ac:dyDescent="0.3"/>
  <cols>
    <col min="1" max="1" width="12.77734375" bestFit="1" customWidth="1"/>
    <col min="2" max="2" width="11.109375" bestFit="1" customWidth="1"/>
  </cols>
  <sheetData>
    <row r="3" spans="1:2" x14ac:dyDescent="0.3">
      <c r="A3" s="6" t="s">
        <v>1052</v>
      </c>
      <c r="B3" t="s">
        <v>1039</v>
      </c>
    </row>
    <row r="4" spans="1:2" x14ac:dyDescent="0.3">
      <c r="A4" s="7" t="s">
        <v>1019</v>
      </c>
      <c r="B4">
        <v>567</v>
      </c>
    </row>
    <row r="5" spans="1:2" x14ac:dyDescent="0.3">
      <c r="A5" s="7" t="s">
        <v>1027</v>
      </c>
      <c r="B5">
        <v>433</v>
      </c>
    </row>
    <row r="6" spans="1:2" x14ac:dyDescent="0.3">
      <c r="A6" s="7" t="s">
        <v>1048</v>
      </c>
      <c r="B6">
        <v>1000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63290-327E-45AC-BBFB-9FAB90D2B2F8}">
  <dimension ref="A3:C8"/>
  <sheetViews>
    <sheetView workbookViewId="0">
      <selection activeCell="B3" sqref="B3"/>
    </sheetView>
  </sheetViews>
  <sheetFormatPr defaultRowHeight="14.4" x14ac:dyDescent="0.3"/>
  <cols>
    <col min="1" max="1" width="11.77734375" bestFit="1" customWidth="1"/>
    <col min="2" max="2" width="11.109375" bestFit="1" customWidth="1"/>
    <col min="3" max="3" width="15" bestFit="1" customWidth="1"/>
  </cols>
  <sheetData>
    <row r="3" spans="1:3" x14ac:dyDescent="0.3">
      <c r="A3" s="6" t="s">
        <v>2</v>
      </c>
      <c r="B3" t="s">
        <v>1039</v>
      </c>
      <c r="C3" t="s">
        <v>1049</v>
      </c>
    </row>
    <row r="4" spans="1:3" x14ac:dyDescent="0.3">
      <c r="A4" s="7" t="s">
        <v>1025</v>
      </c>
      <c r="B4">
        <v>275</v>
      </c>
      <c r="C4" s="9">
        <v>16031793</v>
      </c>
    </row>
    <row r="5" spans="1:3" x14ac:dyDescent="0.3">
      <c r="A5" s="7" t="s">
        <v>1021</v>
      </c>
      <c r="B5">
        <v>237</v>
      </c>
      <c r="C5" s="9">
        <v>15243386</v>
      </c>
    </row>
    <row r="6" spans="1:3" x14ac:dyDescent="0.3">
      <c r="A6" s="7" t="s">
        <v>1036</v>
      </c>
      <c r="B6">
        <v>232</v>
      </c>
      <c r="C6" s="9">
        <v>14976307</v>
      </c>
    </row>
    <row r="7" spans="1:3" x14ac:dyDescent="0.3">
      <c r="A7" s="7" t="s">
        <v>1030</v>
      </c>
      <c r="B7">
        <v>256</v>
      </c>
      <c r="C7" s="9">
        <v>13722260</v>
      </c>
    </row>
    <row r="8" spans="1:3" x14ac:dyDescent="0.3">
      <c r="A8" s="7" t="s">
        <v>1048</v>
      </c>
      <c r="B8">
        <v>1000</v>
      </c>
      <c r="C8" s="9">
        <v>59973746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7591-905B-4575-A5CB-44A1287EC5DC}">
  <dimension ref="A3:B9"/>
  <sheetViews>
    <sheetView workbookViewId="0">
      <selection activeCell="A3" sqref="A3:B8"/>
    </sheetView>
  </sheetViews>
  <sheetFormatPr defaultRowHeight="14.4" x14ac:dyDescent="0.3"/>
  <cols>
    <col min="1" max="1" width="10.77734375" bestFit="1" customWidth="1"/>
    <col min="2" max="2" width="22" bestFit="1" customWidth="1"/>
  </cols>
  <sheetData>
    <row r="3" spans="1:2" x14ac:dyDescent="0.3">
      <c r="A3" s="6" t="s">
        <v>0</v>
      </c>
      <c r="B3" t="s">
        <v>1046</v>
      </c>
    </row>
    <row r="4" spans="1:2" x14ac:dyDescent="0.3">
      <c r="A4" s="7" t="s">
        <v>1022</v>
      </c>
      <c r="B4">
        <v>47.71291866028708</v>
      </c>
    </row>
    <row r="5" spans="1:2" x14ac:dyDescent="0.3">
      <c r="A5" s="7" t="s">
        <v>1035</v>
      </c>
      <c r="B5">
        <v>47.136150234741784</v>
      </c>
    </row>
    <row r="6" spans="1:2" x14ac:dyDescent="0.3">
      <c r="A6" s="7" t="s">
        <v>1033</v>
      </c>
      <c r="B6">
        <v>45.72</v>
      </c>
    </row>
    <row r="7" spans="1:2" x14ac:dyDescent="0.3">
      <c r="A7" s="7" t="s">
        <v>1015</v>
      </c>
      <c r="B7">
        <v>44.862433862433861</v>
      </c>
    </row>
    <row r="8" spans="1:2" x14ac:dyDescent="0.3">
      <c r="A8" s="7" t="s">
        <v>1031</v>
      </c>
      <c r="B8">
        <v>44.349206349206348</v>
      </c>
    </row>
    <row r="9" spans="1:2" x14ac:dyDescent="0.3">
      <c r="A9" s="7" t="s">
        <v>1048</v>
      </c>
      <c r="B9">
        <v>46.017000000000003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Dataset</vt:lpstr>
      <vt:lpstr>KPI_Summary</vt:lpstr>
      <vt:lpstr>Dashboard</vt:lpstr>
      <vt:lpstr>Industry_Analysis</vt:lpstr>
      <vt:lpstr>Breach_Type_Analysis</vt:lpstr>
      <vt:lpstr>Claim_Status_Analysis</vt:lpstr>
      <vt:lpstr>Region_Analysis</vt:lpstr>
      <vt:lpstr>Processing_Time_Analysis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vichitra reddy</dc:creator>
  <cp:lastModifiedBy>vichitra reddy</cp:lastModifiedBy>
  <dcterms:created xsi:type="dcterms:W3CDTF">2026-03-01T14:29:42Z</dcterms:created>
  <dcterms:modified xsi:type="dcterms:W3CDTF">2026-06-04T07:25:43Z</dcterms:modified>
</cp:coreProperties>
</file>